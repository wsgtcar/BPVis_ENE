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80d6ce235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DI_Components" sheetId="1" r:id="R518db80fc2ae48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@"/>
  </x:numFmts>
  <x:fonts count="5">
    <x:font>
      <x:sz val="11"/>
      <x:name val="Carlito"/>
    </x:font>
    <x:font>
      <x:sz val="10"/>
      <x:color rgb="FF182534"/>
      <x:name val="Arial"/>
    </x:font>
    <x:font>
      <x:b/>
      <x:sz val="15"/>
      <x:color rgb="FF182534"/>
      <x:name val="Arial"/>
    </x:font>
    <x:font>
      <x:sz val="10"/>
      <x:color rgb="FF52627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8EDF2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41bc9123f47f5" /><Relationship Type="http://schemas.openxmlformats.org/officeDocument/2006/relationships/theme" Target="/xl/theme/theme1.xml" Id="Rba4a67fb20ba41dd" /><Relationship Type="http://schemas.openxmlformats.org/officeDocument/2006/relationships/sharedStrings" Target="/xl/sharedStrings.xml" Id="Rabb8285a29574a65" /><Relationship Type="http://schemas.openxmlformats.org/officeDocument/2006/relationships/worksheet" Target="/xl/worksheets/sheet1.xml" Id="R518db80fc2ae48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9" hidden="0" customWidth="1"/>
    <x:col min="3" max="3" width="77" hidden="0" customWidth="1"/>
    <x:col min="4" max="4" width="16" hidden="0" customWidth="1"/>
    <x:col min="5" max="5" width="18" hidden="0" customWidth="1"/>
    <x:col min="6" max="6" width="21" hidden="0" customWidth="1"/>
    <x:col min="7" max="7" width="21" hidden="0" customWidth="1"/>
    <x:col min="8" max="8" width="16" hidden="0" customWidth="1"/>
    <x:col min="9" max="9" width="12" hidden="0" customWidth="1"/>
    <x:col min="10" max="10" width="56" hidden="0" customWidth="1"/>
  </x:cols>
  <x:sheetData>
    <x:row r="1">
      <x:c r="A1" s="2" t="str">
        <x:v>VDI 2067 - Component assumptions for BPVis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Source: VDI 2067 Blatt 1 / Part 1, September 2012, Tables A2-A6, printed pages 29-36 (supplied PDF).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Rates are percentage points of investment per year (1.5 means 1.5%). Combined rate = f Inst + f W+Insp; operation hours are not included.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 t="str">
        <x:v>Blank values preserve source dashes or headings. Unnumbered subtypes retain their parent number; duplicate printed numbers are preserved.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2" customHeight="1">
      <x:c r="A6" s="6" t="str">
        <x:v>Table</x:v>
      </x:c>
      <x:c r="B6" s="6" t="str">
        <x:v>Component Number</x:v>
      </x:c>
      <x:c r="C6" s="6" t="str">
        <x:v>Component</x:v>
      </x:c>
      <x:c r="D6" s="6" t="str">
        <x:v>Life Length (years)</x:v>
      </x:c>
      <x:c r="E6" s="6" t="str">
        <x:v>Maintenance f Inst (%)</x:v>
      </x:c>
      <x:c r="F6" s="6" t="str">
        <x:v>Servicing + Inspection (%)</x:v>
      </x:c>
      <x:c r="G6" s="6" t="str">
        <x:v>Combined Maintenance (%)</x:v>
      </x:c>
      <x:c r="H6" s="6" t="str">
        <x:v>Operation (h/a)</x:v>
      </x:c>
      <x:c r="I6" s="6" t="str">
        <x:v>Source Page</x:v>
      </x:c>
      <x:c r="J6" s="6" t="str">
        <x:v>Notes</x:v>
      </x:c>
    </x:row>
    <x:row r="7" ht="32" customHeight="1">
      <x:c r="A7" s="11" t="str">
        <x:v>A2</x:v>
      </x:c>
      <x:c r="B7" s="12" t="str">
        <x:v>1</x:v>
      </x:c>
      <x:c r="C7" s="13" t="str">
        <x:v>Heating</x:v>
      </x:c>
      <x:c r="D7" s="14"/>
      <x:c r="E7" s="14"/>
      <x:c r="F7" s="14"/>
      <x:c r="G7" s="14" t="str">
        <x:f>IF(AND(ISNUMBER(E7),ISNUMBER(F7)),E7+F7,"")</x:f>
      </x:c>
      <x:c r="H7" s="14"/>
      <x:c r="I7" s="15" t="n">
        <x:v>29</x:v>
      </x:c>
      <x:c r="J7" s="13" t="str">
        <x:v>Group or cross-reference; no separate numerical defaults</x:v>
      </x:c>
    </x:row>
    <x:row r="8" ht="32" customHeight="1">
      <x:c r="A8" s="11" t="str">
        <x:v>A2</x:v>
      </x:c>
      <x:c r="B8" s="12" t="str">
        <x:v>1.1</x:v>
      </x:c>
      <x:c r="C8" s="13" t="str">
        <x:v>Utility transfer</x:v>
      </x:c>
      <x:c r="D8" s="14"/>
      <x:c r="E8" s="14"/>
      <x:c r="F8" s="14"/>
      <x:c r="G8" s="14" t="str">
        <x:f>IF(AND(ISNUMBER(E8),ISNUMBER(F8)),E8+F8,"")</x:f>
      </x:c>
      <x:c r="H8" s="14"/>
      <x:c r="I8" s="15" t="n">
        <x:v>29</x:v>
      </x:c>
      <x:c r="J8" s="13" t="str">
        <x:v>Group or cross-reference; no separate numerical defaults</x:v>
      </x:c>
    </x:row>
    <x:row r="9" ht="32" customHeight="1">
      <x:c r="A9" s="11" t="str">
        <x:v>A2</x:v>
      </x:c>
      <x:c r="B9" s="12" t="str">
        <x:v>1.1.1</x:v>
      </x:c>
      <x:c r="C9" s="13" t="str">
        <x:v>Heating surfaces, with accessories (valves, fittings, brackets)</x:v>
      </x:c>
      <x:c r="D9" s="14"/>
      <x:c r="E9" s="14"/>
      <x:c r="F9" s="14"/>
      <x:c r="G9" s="14" t="str">
        <x:f>IF(AND(ISNUMBER(E9),ISNUMBER(F9)),E9+F9,"")</x:f>
      </x:c>
      <x:c r="H9" s="14"/>
      <x:c r="I9" s="15" t="n">
        <x:v>29</x:v>
      </x:c>
      <x:c r="J9" s="13" t="str">
        <x:v>Group or cross-reference; no separate numerical defaults</x:v>
      </x:c>
    </x:row>
    <x:row r="10" ht="32" customHeight="1">
      <x:c r="A10" s="1" t="str">
        <x:v>A2</x:v>
      </x:c>
      <x:c r="B10" s="10" t="str">
        <x:v>1.1.1</x:v>
      </x:c>
      <x:c r="C10" s="7" t="str">
        <x:v>Heating surfaces, with accessories (valves, fittings, brackets) / Cast-iron radiators</x:v>
      </x:c>
      <x:c r="D10" s="8" t="n">
        <x:v>40</x:v>
      </x:c>
      <x:c r="E10" s="8" t="n">
        <x:v>1</x:v>
      </x:c>
      <x:c r="F10" s="8" t="n">
        <x:v>0</x:v>
      </x:c>
      <x:c r="G10" s="8" t="n">
        <x:f>IF(AND(ISNUMBER(E10),ISNUMBER(F10)),E10+F10,"")</x:f>
        <x:v>1</x:v>
      </x:c>
      <x:c r="H10" s="8" t="n">
        <x:v>0</x:v>
      </x:c>
      <x:c r="I10" s="9" t="n">
        <x:v>29</x:v>
      </x:c>
      <x:c r="J10" s="7" t="str">
        <x:v>Unnumbered subtype: parent VDI number retained</x:v>
      </x:c>
    </x:row>
    <x:row r="11" ht="32" customHeight="1">
      <x:c r="A11" s="1" t="str">
        <x:v>A2</x:v>
      </x:c>
      <x:c r="B11" s="10" t="str">
        <x:v>1.1.1</x:v>
      </x:c>
      <x:c r="C11" s="7" t="str">
        <x:v>Heating surfaces, with accessories (valves, fittings, brackets) / Steel radiators</x:v>
      </x:c>
      <x:c r="D11" s="8" t="n">
        <x:v>35</x:v>
      </x:c>
      <x:c r="E11" s="8" t="n">
        <x:v>1</x:v>
      </x:c>
      <x:c r="F11" s="8" t="n">
        <x:v>0</x:v>
      </x:c>
      <x:c r="G11" s="8" t="n">
        <x:f>IF(AND(ISNUMBER(E11),ISNUMBER(F11)),E11+F11,"")</x:f>
        <x:v>1</x:v>
      </x:c>
      <x:c r="H11" s="8" t="n">
        <x:v>0</x:v>
      </x:c>
      <x:c r="I11" s="9" t="n">
        <x:v>29</x:v>
      </x:c>
      <x:c r="J11" s="7" t="str">
        <x:v>Unnumbered subtype: parent VDI number retained</x:v>
      </x:c>
    </x:row>
    <x:row r="12" ht="32" customHeight="1">
      <x:c r="A12" s="1" t="str">
        <x:v>A2</x:v>
      </x:c>
      <x:c r="B12" s="10" t="str">
        <x:v>1.1.1</x:v>
      </x:c>
      <x:c r="C12" s="7" t="str">
        <x:v>Heating surfaces, with accessories (valves, fittings, brackets) / Plate radiators, steel</x:v>
      </x:c>
      <x:c r="D12" s="8" t="n">
        <x:v>30</x:v>
      </x:c>
      <x:c r="E12" s="8" t="n">
        <x:v>1</x:v>
      </x:c>
      <x:c r="F12" s="8" t="n">
        <x:v>0</x:v>
      </x:c>
      <x:c r="G12" s="8" t="n">
        <x:f>IF(AND(ISNUMBER(E12),ISNUMBER(F12)),E12+F12,"")</x:f>
        <x:v>1</x:v>
      </x:c>
      <x:c r="H12" s="8" t="n">
        <x:v>0</x:v>
      </x:c>
      <x:c r="I12" s="9" t="n">
        <x:v>29</x:v>
      </x:c>
      <x:c r="J12" s="7" t="str">
        <x:v>Unnumbered subtype: parent VDI number retained</x:v>
      </x:c>
    </x:row>
    <x:row r="13" ht="32" customHeight="1">
      <x:c r="A13" s="1" t="str">
        <x:v>A2</x:v>
      </x:c>
      <x:c r="B13" s="10" t="str">
        <x:v>1.1.1</x:v>
      </x:c>
      <x:c r="C13" s="7" t="str">
        <x:v>Heating surfaces, with accessories (valves, fittings, brackets) / Aluminium radiators</x:v>
      </x:c>
      <x:c r="D13" s="8" t="n">
        <x:v>30</x:v>
      </x:c>
      <x:c r="E13" s="8" t="n">
        <x:v>1</x:v>
      </x:c>
      <x:c r="F13" s="8" t="n">
        <x:v>0</x:v>
      </x:c>
      <x:c r="G13" s="8" t="n">
        <x:f>IF(AND(ISNUMBER(E13),ISNUMBER(F13)),E13+F13,"")</x:f>
        <x:v>1</x:v>
      </x:c>
      <x:c r="H13" s="8" t="n">
        <x:v>0</x:v>
      </x:c>
      <x:c r="I13" s="9" t="n">
        <x:v>29</x:v>
      </x:c>
      <x:c r="J13" s="7" t="str">
        <x:v>Unnumbered subtype: parent VDI number retained</x:v>
      </x:c>
    </x:row>
    <x:row r="14" ht="60" customHeight="1">
      <x:c r="A14" s="1" t="str">
        <x:v>A2</x:v>
      </x:c>
      <x:c r="B14" s="10" t="str">
        <x:v>1.1.1</x:v>
      </x:c>
      <x:c r="C14" s="7" t="str">
        <x:v>Heating surfaces, with accessories (valves, fittings, brackets) / Convector heaters with cover panels</x:v>
      </x:c>
      <x:c r="D14" s="8" t="n">
        <x:v>30</x:v>
      </x:c>
      <x:c r="E14" s="8" t="n">
        <x:v>2</x:v>
      </x:c>
      <x:c r="F14" s="8" t="n">
        <x:v>0</x:v>
      </x:c>
      <x:c r="G14" s="8" t="n">
        <x:f>IF(AND(ISNUMBER(E14),ISNUMBER(F14)),E14+F14,"")</x:f>
        <x:v>2</x:v>
      </x:c>
      <x:c r="H14" s="8" t="n">
        <x:v>0</x:v>
      </x:c>
      <x:c r="I14" s="9" t="n">
        <x:v>29</x:v>
      </x:c>
      <x:c r="J14" s="7" t="str">
        <x:v>Unnumbered subtype: parent VDI number retained</x:v>
      </x:c>
    </x:row>
    <x:row r="15" ht="60" customHeight="1">
      <x:c r="A15" s="1" t="str">
        <x:v>A2</x:v>
      </x:c>
      <x:c r="B15" s="10" t="str">
        <x:v>1.1.1</x:v>
      </x:c>
      <x:c r="C15" s="7" t="str">
        <x:v>Heating surfaces, with accessories (valves, fittings, brackets) / Ceiling heating, radiant ceiling panels</x:v>
      </x:c>
      <x:c r="D15" s="8" t="n">
        <x:v>20</x:v>
      </x:c>
      <x:c r="E15" s="8" t="n">
        <x:v>1.5</x:v>
      </x:c>
      <x:c r="F15" s="8" t="n">
        <x:v>0.5</x:v>
      </x:c>
      <x:c r="G15" s="8" t="n">
        <x:f>IF(AND(ISNUMBER(E15),ISNUMBER(F15)),E15+F15,"")</x:f>
        <x:v>2</x:v>
      </x:c>
      <x:c r="H15" s="8" t="n">
        <x:v>0</x:v>
      </x:c>
      <x:c r="I15" s="9" t="n">
        <x:v>29</x:v>
      </x:c>
      <x:c r="J15" s="7" t="str">
        <x:v>Unnumbered subtype: parent VDI number retained</x:v>
      </x:c>
    </x:row>
    <x:row r="16" ht="32" customHeight="1">
      <x:c r="A16" s="1" t="str">
        <x:v>A2</x:v>
      </x:c>
      <x:c r="B16" s="10" t="str">
        <x:v>1.1.1</x:v>
      </x:c>
      <x:c r="C16" s="7" t="str">
        <x:v>Heating surfaces, with accessories (valves, fittings, brackets) / Hot-water underfloor heating</x:v>
      </x:c>
      <x:c r="D16" s="8" t="n">
        <x:v>50</x:v>
      </x:c>
      <x:c r="E16" s="8" t="n">
        <x:v>1</x:v>
      </x:c>
      <x:c r="F16" s="8" t="n">
        <x:v>0</x:v>
      </x:c>
      <x:c r="G16" s="8" t="n">
        <x:f>IF(AND(ISNUMBER(E16),ISNUMBER(F16)),E16+F16,"")</x:f>
        <x:v>1</x:v>
      </x:c>
      <x:c r="H16" s="8" t="n">
        <x:v>0</x:v>
      </x:c>
      <x:c r="I16" s="9" t="n">
        <x:v>29</x:v>
      </x:c>
      <x:c r="J16" s="7" t="str">
        <x:v>Unnumbered subtype: parent VDI number retained</x:v>
      </x:c>
    </x:row>
    <x:row r="17" ht="60" customHeight="1">
      <x:c r="A17" s="1" t="str">
        <x:v>A2</x:v>
      </x:c>
      <x:c r="B17" s="10" t="str">
        <x:v>1.1.1</x:v>
      </x:c>
      <x:c r="C17" s="7" t="str">
        <x:v>Heating surfaces, with accessories (valves, fittings, brackets) / Thermally active building components, e. g. ceilings</x:v>
      </x:c>
      <x:c r="D17" s="8" t="n">
        <x:v>50</x:v>
      </x:c>
      <x:c r="E17" s="8" t="n">
        <x:v>1</x:v>
      </x:c>
      <x:c r="F17" s="8" t="n">
        <x:v>0</x:v>
      </x:c>
      <x:c r="G17" s="8" t="n">
        <x:f>IF(AND(ISNUMBER(E17),ISNUMBER(F17)),E17+F17,"")</x:f>
        <x:v>1</x:v>
      </x:c>
      <x:c r="H17" s="8" t="n">
        <x:v>0</x:v>
      </x:c>
      <x:c r="I17" s="9" t="n">
        <x:v>29</x:v>
      </x:c>
      <x:c r="J17" s="7" t="str">
        <x:v>Unnumbered subtype: parent VDI number retained</x:v>
      </x:c>
    </x:row>
    <x:row r="18" ht="32" customHeight="1">
      <x:c r="A18" s="11" t="str">
        <x:v>A2</x:v>
      </x:c>
      <x:c r="B18" s="12" t="str">
        <x:v>1.1.2</x:v>
      </x:c>
      <x:c r="C18" s="13" t="str">
        <x:v>Control devices</x:v>
      </x:c>
      <x:c r="D18" s="14"/>
      <x:c r="E18" s="14"/>
      <x:c r="F18" s="14"/>
      <x:c r="G18" s="14" t="str">
        <x:f>IF(AND(ISNUMBER(E18),ISNUMBER(F18)),E18+F18,"")</x:f>
      </x:c>
      <x:c r="H18" s="14"/>
      <x:c r="I18" s="15" t="n">
        <x:v>29</x:v>
      </x:c>
      <x:c r="J18" s="13" t="str">
        <x:v>Group or cross-reference; no separate numerical defaults</x:v>
      </x:c>
    </x:row>
    <x:row r="19" ht="32" customHeight="1">
      <x:c r="A19" s="1" t="str">
        <x:v>A2</x:v>
      </x:c>
      <x:c r="B19" s="10" t="str">
        <x:v>1.1.2</x:v>
      </x:c>
      <x:c r="C19" s="7" t="str">
        <x:v>Control devices / Thermostat valves</x:v>
      </x:c>
      <x:c r="D19" s="8" t="n">
        <x:v>15</x:v>
      </x:c>
      <x:c r="E19" s="8" t="n">
        <x:v>1</x:v>
      </x:c>
      <x:c r="F19" s="8" t="n">
        <x:v>0.5</x:v>
      </x:c>
      <x:c r="G19" s="8" t="n">
        <x:f>IF(AND(ISNUMBER(E19),ISNUMBER(F19)),E19+F19,"")</x:f>
        <x:v>1.5</x:v>
      </x:c>
      <x:c r="H19" s="8" t="n">
        <x:v>0</x:v>
      </x:c>
      <x:c r="I19" s="9" t="n">
        <x:v>29</x:v>
      </x:c>
      <x:c r="J19" s="7" t="str">
        <x:v>Unnumbered subtype: parent VDI number retained</x:v>
      </x:c>
    </x:row>
    <x:row r="20" ht="32" customHeight="1">
      <x:c r="A20" s="1" t="str">
        <x:v>A2</x:v>
      </x:c>
      <x:c r="B20" s="10" t="str">
        <x:v>1.1.2</x:v>
      </x:c>
      <x:c r="C20" s="7" t="str">
        <x:v>Control devices / Valves with auxiliary-energy actuation</x:v>
      </x:c>
      <x:c r="D20" s="8" t="n">
        <x:v>10</x:v>
      </x:c>
      <x:c r="E20" s="8" t="n">
        <x:v>1.5</x:v>
      </x:c>
      <x:c r="F20" s="8" t="n">
        <x:v>1</x:v>
      </x:c>
      <x:c r="G20" s="8" t="n">
        <x:f>IF(AND(ISNUMBER(E20),ISNUMBER(F20)),E20+F20,"")</x:f>
        <x:v>2.5</x:v>
      </x:c>
      <x:c r="H20" s="8" t="n">
        <x:v>0</x:v>
      </x:c>
      <x:c r="I20" s="9" t="n">
        <x:v>29</x:v>
      </x:c>
      <x:c r="J20" s="7" t="str">
        <x:v>Unnumbered subtype: parent VDI number retained</x:v>
      </x:c>
    </x:row>
    <x:row r="21" ht="32" customHeight="1">
      <x:c r="A21" s="1" t="str">
        <x:v>A2</x:v>
      </x:c>
      <x:c r="B21" s="10" t="str">
        <x:v>1.1.2</x:v>
      </x:c>
      <x:c r="C21" s="7" t="str">
        <x:v>Control devices / Decentralized control pumps</x:v>
      </x:c>
      <x:c r="D21" s="8" t="n">
        <x:v>12</x:v>
      </x:c>
      <x:c r="E21" s="8" t="n">
        <x:v>2</x:v>
      </x:c>
      <x:c r="F21" s="8" t="n">
        <x:v>1</x:v>
      </x:c>
      <x:c r="G21" s="8" t="n">
        <x:f>IF(AND(ISNUMBER(E21),ISNUMBER(F21)),E21+F21,"")</x:f>
        <x:v>3</x:v>
      </x:c>
      <x:c r="H21" s="8" t="n">
        <x:v>0</x:v>
      </x:c>
      <x:c r="I21" s="9" t="n">
        <x:v>29</x:v>
      </x:c>
      <x:c r="J21" s="7" t="str">
        <x:v>Unnumbered subtype: parent VDI number retained</x:v>
      </x:c>
    </x:row>
    <x:row r="22" ht="32" customHeight="1">
      <x:c r="A22" s="1" t="str">
        <x:v>A2</x:v>
      </x:c>
      <x:c r="B22" s="10" t="str">
        <x:v>1.1.3</x:v>
      </x:c>
      <x:c r="C22" s="7" t="str">
        <x:v>Air heaters for large-space heating, gas or oil fuelled</x:v>
      </x:c>
      <x:c r="D22" s="8" t="n">
        <x:v>15</x:v>
      </x:c>
      <x:c r="E22" s="8" t="n">
        <x:v>4</x:v>
      </x:c>
      <x:c r="F22" s="8" t="n">
        <x:v>2</x:v>
      </x:c>
      <x:c r="G22" s="8" t="n">
        <x:f>IF(AND(ISNUMBER(E22),ISNUMBER(F22)),E22+F22,"")</x:f>
        <x:v>6</x:v>
      </x:c>
      <x:c r="H22" s="8" t="n">
        <x:v>1</x:v>
      </x:c>
      <x:c r="I22" s="9" t="n">
        <x:v>29</x:v>
      </x:c>
      <x:c r="J22" s="7" t="str"/>
    </x:row>
    <x:row r="23" ht="32" customHeight="1">
      <x:c r="A23" s="11" t="str">
        <x:v>A2</x:v>
      </x:c>
      <x:c r="B23" s="12" t="str">
        <x:v>1.1.4</x:v>
      </x:c>
      <x:c r="C23" s="13" t="str">
        <x:v>Electrical heating</x:v>
      </x:c>
      <x:c r="D23" s="14"/>
      <x:c r="E23" s="14"/>
      <x:c r="F23" s="14"/>
      <x:c r="G23" s="14" t="str">
        <x:f>IF(AND(ISNUMBER(E23),ISNUMBER(F23)),E23+F23,"")</x:f>
      </x:c>
      <x:c r="H23" s="14"/>
      <x:c r="I23" s="15" t="n">
        <x:v>29</x:v>
      </x:c>
      <x:c r="J23" s="13" t="str">
        <x:v>Group or cross-reference; no separate numerical defaults</x:v>
      </x:c>
    </x:row>
    <x:row r="24" ht="32" customHeight="1">
      <x:c r="A24" s="1" t="str">
        <x:v>A2</x:v>
      </x:c>
      <x:c r="B24" s="10" t="str">
        <x:v>1.1.4</x:v>
      </x:c>
      <x:c r="C24" s="7" t="str">
        <x:v>Electrical heating / Storage heater (DIN V 44570-60531/DIN 44572)</x:v>
      </x:c>
      <x:c r="D24" s="8" t="n">
        <x:v>22</x:v>
      </x:c>
      <x:c r="E24" s="8" t="n">
        <x:v>1</x:v>
      </x:c>
      <x:c r="F24" s="8" t="n">
        <x:v>1.5</x:v>
      </x:c>
      <x:c r="G24" s="8" t="n">
        <x:f>IF(AND(ISNUMBER(E24),ISNUMBER(F24)),E24+F24,"")</x:f>
        <x:v>2.5</x:v>
      </x:c>
      <x:c r="H24" s="8" t="n">
        <x:v>0</x:v>
      </x:c>
      <x:c r="I24" s="9" t="n">
        <x:v>29</x:v>
      </x:c>
      <x:c r="J24" s="7" t="str">
        <x:v>Unnumbered subtype: parent VDI number retained</x:v>
      </x:c>
    </x:row>
    <x:row r="25" ht="60" customHeight="1">
      <x:c r="A25" s="1" t="str">
        <x:v>A2</x:v>
      </x:c>
      <x:c r="B25" s="10" t="str">
        <x:v>1.1.4</x:v>
      </x:c>
      <x:c r="C25" s="7" t="str">
        <x:v>Electrical heating / Electrical underfloor heating (DIN V 44576) (incl. construction above structural concrete floor)</x:v>
      </x:c>
      <x:c r="D25" s="8" t="n">
        <x:v>50</x:v>
      </x:c>
      <x:c r="E25" s="8" t="n">
        <x:v>2</x:v>
      </x:c>
      <x:c r="F25" s="8" t="n">
        <x:v>0</x:v>
      </x:c>
      <x:c r="G25" s="8" t="n">
        <x:f>IF(AND(ISNUMBER(E25),ISNUMBER(F25)),E25+F25,"")</x:f>
        <x:v>2</x:v>
      </x:c>
      <x:c r="H25" s="8" t="n">
        <x:v>0</x:v>
      </x:c>
      <x:c r="I25" s="9" t="n">
        <x:v>29</x:v>
      </x:c>
      <x:c r="J25" s="7" t="str">
        <x:v>Unnumbered subtype: parent VDI number retained</x:v>
      </x:c>
    </x:row>
    <x:row r="26" ht="32" customHeight="1">
      <x:c r="A26" s="1" t="str">
        <x:v>A2</x:v>
      </x:c>
      <x:c r="B26" s="10" t="str">
        <x:v>1.1.4</x:v>
      </x:c>
      <x:c r="C26" s="7" t="str">
        <x:v>Electrical heating / Electrical direct heater (fixed installation)</x:v>
      </x:c>
      <x:c r="D26" s="8" t="n">
        <x:v>22</x:v>
      </x:c>
      <x:c r="E26" s="8" t="n">
        <x:v>1</x:v>
      </x:c>
      <x:c r="F26" s="8" t="n">
        <x:v>0</x:v>
      </x:c>
      <x:c r="G26" s="8" t="n">
        <x:f>IF(AND(ISNUMBER(E26),ISNUMBER(F26)),E26+F26,"")</x:f>
        <x:v>1</x:v>
      </x:c>
      <x:c r="H26" s="8" t="n">
        <x:v>0</x:v>
      </x:c>
      <x:c r="I26" s="9" t="n">
        <x:v>29</x:v>
      </x:c>
      <x:c r="J26" s="7" t="str">
        <x:v>Unnumbered subtype: parent VDI number retained</x:v>
      </x:c>
    </x:row>
    <x:row r="27" ht="32" customHeight="1">
      <x:c r="A27" s="11" t="str">
        <x:v>A2</x:v>
      </x:c>
      <x:c r="B27" s="12" t="str">
        <x:v>1.2</x:v>
      </x:c>
      <x:c r="C27" s="13" t="str">
        <x:v>Distribution</x:v>
      </x:c>
      <x:c r="D27" s="14"/>
      <x:c r="E27" s="14"/>
      <x:c r="F27" s="14"/>
      <x:c r="G27" s="14" t="str">
        <x:f>IF(AND(ISNUMBER(E27),ISNUMBER(F27)),E27+F27,"")</x:f>
      </x:c>
      <x:c r="H27" s="14"/>
      <x:c r="I27" s="15" t="n">
        <x:v>29</x:v>
      </x:c>
      <x:c r="J27" s="13" t="str">
        <x:v>Group or cross-reference; no separate numerical defaults</x:v>
      </x:c>
    </x:row>
    <x:row r="28" ht="32" customHeight="1">
      <x:c r="A28" s="11" t="str">
        <x:v>A2</x:v>
      </x:c>
      <x:c r="B28" s="12" t="str">
        <x:v>1.2.1</x:v>
      </x:c>
      <x:c r="C28" s="13" t="str">
        <x:v>Pumps</x:v>
      </x:c>
      <x:c r="D28" s="14"/>
      <x:c r="E28" s="14"/>
      <x:c r="F28" s="14"/>
      <x:c r="G28" s="14" t="str">
        <x:f>IF(AND(ISNUMBER(E28),ISNUMBER(F28)),E28+F28,"")</x:f>
      </x:c>
      <x:c r="H28" s="14"/>
      <x:c r="I28" s="15" t="n">
        <x:v>29</x:v>
      </x:c>
      <x:c r="J28" s="13" t="str">
        <x:v>Group or cross-reference; no separate numerical defaults</x:v>
      </x:c>
    </x:row>
    <x:row r="29" ht="32" customHeight="1">
      <x:c r="A29" s="1" t="str">
        <x:v>A2</x:v>
      </x:c>
      <x:c r="B29" s="10" t="str">
        <x:v>1.2.1</x:v>
      </x:c>
      <x:c r="C29" s="7" t="str">
        <x:v>Pumps / Foundation pumps</x:v>
      </x:c>
      <x:c r="D29" s="8" t="n">
        <x:v>18</x:v>
      </x:c>
      <x:c r="E29" s="8" t="n">
        <x:v>2</x:v>
      </x:c>
      <x:c r="F29" s="8" t="n">
        <x:v>1</x:v>
      </x:c>
      <x:c r="G29" s="8" t="n">
        <x:f>IF(AND(ISNUMBER(E29),ISNUMBER(F29)),E29+F29,"")</x:f>
        <x:v>3</x:v>
      </x:c>
      <x:c r="H29" s="8" t="n">
        <x:v>0</x:v>
      </x:c>
      <x:c r="I29" s="9" t="n">
        <x:v>29</x:v>
      </x:c>
      <x:c r="J29" s="7" t="str">
        <x:v>Unnumbered subtype: parent VDI number retained</x:v>
      </x:c>
    </x:row>
    <x:row r="30" ht="32" customHeight="1">
      <x:c r="A30" s="1" t="str">
        <x:v>A2</x:v>
      </x:c>
      <x:c r="B30" s="10" t="str">
        <x:v>1.2.1</x:v>
      </x:c>
      <x:c r="C30" s="7" t="str">
        <x:v>Pumps / Circulator pumps</x:v>
      </x:c>
      <x:c r="D30" s="8" t="n">
        <x:v>10</x:v>
      </x:c>
      <x:c r="E30" s="8" t="n">
        <x:v>2</x:v>
      </x:c>
      <x:c r="F30" s="8" t="n">
        <x:v>1</x:v>
      </x:c>
      <x:c r="G30" s="8" t="n">
        <x:f>IF(AND(ISNUMBER(E30),ISNUMBER(F30)),E30+F30,"")</x:f>
        <x:v>3</x:v>
      </x:c>
      <x:c r="H30" s="8" t="n">
        <x:v>0</x:v>
      </x:c>
      <x:c r="I30" s="9" t="n">
        <x:v>29</x:v>
      </x:c>
      <x:c r="J30" s="7" t="str">
        <x:v>Unnumbered subtype: parent VDI number retained</x:v>
      </x:c>
    </x:row>
    <x:row r="31" ht="32" customHeight="1">
      <x:c r="A31" s="1" t="str">
        <x:v>A2</x:v>
      </x:c>
      <x:c r="B31" s="10" t="str">
        <x:v>1.2.1</x:v>
      </x:c>
      <x:c r="C31" s="7" t="str">
        <x:v>Pumps / Controlled jet pumps</x:v>
      </x:c>
      <x:c r="D31" s="8" t="n">
        <x:v>15</x:v>
      </x:c>
      <x:c r="E31" s="8" t="n">
        <x:v>1.5</x:v>
      </x:c>
      <x:c r="F31" s="8" t="n">
        <x:v>1</x:v>
      </x:c>
      <x:c r="G31" s="8" t="n">
        <x:f>IF(AND(ISNUMBER(E31),ISNUMBER(F31)),E31+F31,"")</x:f>
        <x:v>2.5</x:v>
      </x:c>
      <x:c r="H31" s="8" t="n">
        <x:v>0</x:v>
      </x:c>
      <x:c r="I31" s="9" t="n">
        <x:v>29</x:v>
      </x:c>
      <x:c r="J31" s="7" t="str">
        <x:v>Unnumbered subtype: parent VDI number retained</x:v>
      </x:c>
    </x:row>
    <x:row r="32" ht="32" customHeight="1">
      <x:c r="A32" s="1" t="str">
        <x:v>A2</x:v>
      </x:c>
      <x:c r="B32" s="10" t="str">
        <x:v>1.2.2</x:v>
      </x:c>
      <x:c r="C32" s="7" t="str">
        <x:v>Fixtures and fittings</x:v>
      </x:c>
      <x:c r="D32" s="8" t="n">
        <x:v>20</x:v>
      </x:c>
      <x:c r="E32" s="8" t="n">
        <x:v>1.5</x:v>
      </x:c>
      <x:c r="F32" s="8" t="n">
        <x:v>1</x:v>
      </x:c>
      <x:c r="G32" s="8" t="n">
        <x:f>IF(AND(ISNUMBER(E32),ISNUMBER(F32)),E32+F32,"")</x:f>
        <x:v>2.5</x:v>
      </x:c>
      <x:c r="H32" s="8" t="n">
        <x:v>0</x:v>
      </x:c>
      <x:c r="I32" s="9" t="n">
        <x:v>29</x:v>
      </x:c>
      <x:c r="J32" s="7" t="str"/>
    </x:row>
    <x:row r="33" ht="32" customHeight="1">
      <x:c r="A33" s="11" t="str">
        <x:v>A2</x:v>
      </x:c>
      <x:c r="B33" s="12" t="str">
        <x:v>1.2.3</x:v>
      </x:c>
      <x:c r="C33" s="13" t="str">
        <x:v>Expansion tank</x:v>
      </x:c>
      <x:c r="D33" s="14"/>
      <x:c r="E33" s="14"/>
      <x:c r="F33" s="14"/>
      <x:c r="G33" s="14" t="str">
        <x:f>IF(AND(ISNUMBER(E33),ISNUMBER(F33)),E33+F33,"")</x:f>
      </x:c>
      <x:c r="H33" s="14"/>
      <x:c r="I33" s="15" t="n">
        <x:v>29</x:v>
      </x:c>
      <x:c r="J33" s="13" t="str">
        <x:v>Group or cross-reference; no separate numerical defaults</x:v>
      </x:c>
    </x:row>
    <x:row r="34" ht="32" customHeight="1">
      <x:c r="A34" s="1" t="str">
        <x:v>A2</x:v>
      </x:c>
      <x:c r="B34" s="10" t="str">
        <x:v>1.2.3</x:v>
      </x:c>
      <x:c r="C34" s="7" t="str">
        <x:v>Expansion tank / With membrane (DIN 4751-2/-3)</x:v>
      </x:c>
      <x:c r="D34" s="8" t="n">
        <x:v>15</x:v>
      </x:c>
      <x:c r="E34" s="8" t="n">
        <x:v>1</x:v>
      </x:c>
      <x:c r="F34" s="8" t="n">
        <x:v>1</x:v>
      </x:c>
      <x:c r="G34" s="8" t="n">
        <x:f>IF(AND(ISNUMBER(E34),ISNUMBER(F34)),E34+F34,"")</x:f>
        <x:v>2</x:v>
      </x:c>
      <x:c r="H34" s="8" t="n">
        <x:v>0</x:v>
      </x:c>
      <x:c r="I34" s="9" t="n">
        <x:v>29</x:v>
      </x:c>
      <x:c r="J34" s="7" t="str">
        <x:v>Unnumbered subtype: parent VDI number retained</x:v>
      </x:c>
    </x:row>
    <x:row r="35" ht="32" customHeight="1">
      <x:c r="A35" s="1" t="str">
        <x:v>A2</x:v>
      </x:c>
      <x:c r="B35" s="10" t="str">
        <x:v>1.2.3</x:v>
      </x:c>
      <x:c r="C35" s="7" t="str">
        <x:v>Expansion tank / With pressure cushion (DIN 4752)</x:v>
      </x:c>
      <x:c r="D35" s="8" t="n">
        <x:v>25</x:v>
      </x:c>
      <x:c r="E35" s="8" t="n">
        <x:v>2</x:v>
      </x:c>
      <x:c r="F35" s="8" t="n">
        <x:v>1</x:v>
      </x:c>
      <x:c r="G35" s="8" t="n">
        <x:f>IF(AND(ISNUMBER(E35),ISNUMBER(F35)),E35+F35,"")</x:f>
        <x:v>3</x:v>
      </x:c>
      <x:c r="H35" s="8" t="n">
        <x:v>5</x:v>
      </x:c>
      <x:c r="I35" s="9" t="n">
        <x:v>29</x:v>
      </x:c>
      <x:c r="J35" s="7" t="str">
        <x:v>Unnumbered subtype: parent VDI number retained</x:v>
      </x:c>
    </x:row>
    <x:row r="36" ht="32" customHeight="1">
      <x:c r="A36" s="1" t="str">
        <x:v>A2</x:v>
      </x:c>
      <x:c r="B36" s="10" t="str">
        <x:v>1.2.4</x:v>
      </x:c>
      <x:c r="C36" s="7" t="str">
        <x:v>Measuring and control devices</x:v>
      </x:c>
      <x:c r="D36" s="8" t="n">
        <x:v>15</x:v>
      </x:c>
      <x:c r="E36" s="8" t="n">
        <x:v>1.5</x:v>
      </x:c>
      <x:c r="F36" s="8" t="n">
        <x:v>1.5</x:v>
      </x:c>
      <x:c r="G36" s="8" t="n">
        <x:f>IF(AND(ISNUMBER(E36),ISNUMBER(F36)),E36+F36,"")</x:f>
        <x:v>3</x:v>
      </x:c>
      <x:c r="H36" s="8" t="n">
        <x:v>0</x:v>
      </x:c>
      <x:c r="I36" s="9" t="n">
        <x:v>30</x:v>
      </x:c>
      <x:c r="J36" s="7" t="str"/>
    </x:row>
    <x:row r="37" ht="32" customHeight="1">
      <x:c r="A37" s="1" t="str">
        <x:v>A2</x:v>
      </x:c>
      <x:c r="B37" s="10" t="str">
        <x:v>1.2.5</x:v>
      </x:c>
      <x:c r="C37" s="7" t="str">
        <x:v>Thermal insulation of piping</x:v>
      </x:c>
      <x:c r="D37" s="8" t="n">
        <x:v>25</x:v>
      </x:c>
      <x:c r="E37" s="8" t="n">
        <x:v>1</x:v>
      </x:c>
      <x:c r="F37" s="8" t="n">
        <x:v>0</x:v>
      </x:c>
      <x:c r="G37" s="8" t="n">
        <x:f>IF(AND(ISNUMBER(E37),ISNUMBER(F37)),E37+F37,"")</x:f>
        <x:v>1</x:v>
      </x:c>
      <x:c r="H37" s="8" t="n">
        <x:v>0</x:v>
      </x:c>
      <x:c r="I37" s="9" t="n">
        <x:v>30</x:v>
      </x:c>
      <x:c r="J37" s="7" t="str"/>
    </x:row>
    <x:row r="38" ht="32" customHeight="1">
      <x:c r="A38" s="11" t="str">
        <x:v>A2</x:v>
      </x:c>
      <x:c r="B38" s="12" t="str">
        <x:v>1.2.6</x:v>
      </x:c>
      <x:c r="C38" s="13" t="str">
        <x:v>Piping made from drawn steel or rolled steel</x:v>
      </x:c>
      <x:c r="D38" s="14"/>
      <x:c r="E38" s="14"/>
      <x:c r="F38" s="14"/>
      <x:c r="G38" s="14" t="str">
        <x:f>IF(AND(ISNUMBER(E38),ISNUMBER(F38)),E38+F38,"")</x:f>
      </x:c>
      <x:c r="H38" s="14"/>
      <x:c r="I38" s="15" t="n">
        <x:v>30</x:v>
      </x:c>
      <x:c r="J38" s="13" t="str">
        <x:v>Group or cross-reference; no separate numerical defaults</x:v>
      </x:c>
    </x:row>
    <x:row r="39" ht="32" customHeight="1">
      <x:c r="A39" s="1" t="str">
        <x:v>A2</x:v>
      </x:c>
      <x:c r="B39" s="10" t="str">
        <x:v>1.2.6</x:v>
      </x:c>
      <x:c r="C39" s="7" t="str">
        <x:v>Piping made from drawn steel or rolled steel / Water heating</x:v>
      </x:c>
      <x:c r="D39" s="8" t="n">
        <x:v>40</x:v>
      </x:c>
      <x:c r="E39" s="8" t="n">
        <x:v>1</x:v>
      </x:c>
      <x:c r="F39" s="8" t="n">
        <x:v>0</x:v>
      </x:c>
      <x:c r="G39" s="8" t="n">
        <x:f>IF(AND(ISNUMBER(E39),ISNUMBER(F39)),E39+F39,"")</x:f>
        <x:v>1</x:v>
      </x:c>
      <x:c r="H39" s="8" t="n">
        <x:v>0</x:v>
      </x:c>
      <x:c r="I39" s="9" t="n">
        <x:v>30</x:v>
      </x:c>
      <x:c r="J39" s="7" t="str">
        <x:v>Unnumbered subtype: parent VDI number retained</x:v>
      </x:c>
    </x:row>
    <x:row r="40" ht="32" customHeight="1">
      <x:c r="A40" s="1" t="str">
        <x:v>A2</x:v>
      </x:c>
      <x:c r="B40" s="10" t="str">
        <x:v>1.2.6</x:v>
      </x:c>
      <x:c r="C40" s="7" t="str">
        <x:v>Piping made from drawn steel or rolled steel / Steam</x:v>
      </x:c>
      <x:c r="D40" s="8" t="n">
        <x:v>40</x:v>
      </x:c>
      <x:c r="E40" s="8" t="n">
        <x:v>1</x:v>
      </x:c>
      <x:c r="F40" s="8" t="n">
        <x:v>0</x:v>
      </x:c>
      <x:c r="G40" s="8" t="n">
        <x:f>IF(AND(ISNUMBER(E40),ISNUMBER(F40)),E40+F40,"")</x:f>
        <x:v>1</x:v>
      </x:c>
      <x:c r="H40" s="8" t="n">
        <x:v>0</x:v>
      </x:c>
      <x:c r="I40" s="9" t="n">
        <x:v>30</x:v>
      </x:c>
      <x:c r="J40" s="7" t="str">
        <x:v>Unnumbered subtype: parent VDI number retained</x:v>
      </x:c>
    </x:row>
    <x:row r="41" ht="32" customHeight="1">
      <x:c r="A41" s="1" t="str">
        <x:v>A2</x:v>
      </x:c>
      <x:c r="B41" s="10" t="str">
        <x:v>1.2.6</x:v>
      </x:c>
      <x:c r="C41" s="7" t="str">
        <x:v>Piping made from drawn steel or rolled steel / Condensate</x:v>
      </x:c>
      <x:c r="D41" s="8" t="n">
        <x:v>8</x:v>
      </x:c>
      <x:c r="E41" s="8" t="n">
        <x:v>5</x:v>
      </x:c>
      <x:c r="F41" s="8" t="n">
        <x:v>0</x:v>
      </x:c>
      <x:c r="G41" s="8" t="n">
        <x:f>IF(AND(ISNUMBER(E41),ISNUMBER(F41)),E41+F41,"")</x:f>
        <x:v>5</x:v>
      </x:c>
      <x:c r="H41" s="8" t="n">
        <x:v>0</x:v>
      </x:c>
      <x:c r="I41" s="9" t="n">
        <x:v>30</x:v>
      </x:c>
      <x:c r="J41" s="7" t="str">
        <x:v>Unnumbered subtype: parent VDI number retained</x:v>
      </x:c>
    </x:row>
    <x:row r="42" ht="32" customHeight="1">
      <x:c r="A42" s="1" t="str">
        <x:v>A2</x:v>
      </x:c>
      <x:c r="B42" s="10" t="str">
        <x:v>1.2.6</x:v>
      </x:c>
      <x:c r="C42" s="7" t="str">
        <x:v>Piping made from drawn steel or rolled steel / Gas</x:v>
      </x:c>
      <x:c r="D42" s="8" t="n">
        <x:v>40</x:v>
      </x:c>
      <x:c r="E42" s="8" t="n">
        <x:v>1</x:v>
      </x:c>
      <x:c r="F42" s="8" t="n">
        <x:v>0</x:v>
      </x:c>
      <x:c r="G42" s="8" t="n">
        <x:f>IF(AND(ISNUMBER(E42),ISNUMBER(F42)),E42+F42,"")</x:f>
        <x:v>1</x:v>
      </x:c>
      <x:c r="H42" s="8" t="n">
        <x:v>0</x:v>
      </x:c>
      <x:c r="I42" s="9" t="n">
        <x:v>30</x:v>
      </x:c>
      <x:c r="J42" s="7" t="str">
        <x:v>Unnumbered subtype: parent VDI number retained</x:v>
      </x:c>
    </x:row>
    <x:row r="43" ht="32" customHeight="1">
      <x:c r="A43" s="1" t="str">
        <x:v>A2</x:v>
      </x:c>
      <x:c r="B43" s="10" t="str">
        <x:v>1.2.7</x:v>
      </x:c>
      <x:c r="C43" s="7" t="str">
        <x:v>Piping made from copper</x:v>
      </x:c>
      <x:c r="D43" s="8" t="n">
        <x:v>35</x:v>
      </x:c>
      <x:c r="E43" s="8" t="n">
        <x:v>0.5</x:v>
      </x:c>
      <x:c r="F43" s="8" t="n">
        <x:v>0</x:v>
      </x:c>
      <x:c r="G43" s="8" t="n">
        <x:f>IF(AND(ISNUMBER(E43),ISNUMBER(F43)),E43+F43,"")</x:f>
        <x:v>0.5</x:v>
      </x:c>
      <x:c r="H43" s="8" t="n">
        <x:v>0</x:v>
      </x:c>
      <x:c r="I43" s="9" t="n">
        <x:v>30</x:v>
      </x:c>
      <x:c r="J43" s="7" t="str"/>
    </x:row>
    <x:row r="44" ht="32" customHeight="1">
      <x:c r="A44" s="1" t="str">
        <x:v>A2</x:v>
      </x:c>
      <x:c r="B44" s="10" t="str">
        <x:v>1.2.8</x:v>
      </x:c>
      <x:c r="C44" s="7" t="str">
        <x:v>Piping made from plastic</x:v>
      </x:c>
      <x:c r="D44" s="8" t="n">
        <x:v>30</x:v>
      </x:c>
      <x:c r="E44" s="8" t="n">
        <x:v>0.5</x:v>
      </x:c>
      <x:c r="F44" s="8" t="n">
        <x:v>0</x:v>
      </x:c>
      <x:c r="G44" s="8" t="n">
        <x:f>IF(AND(ISNUMBER(E44),ISNUMBER(F44)),E44+F44,"")</x:f>
        <x:v>0.5</x:v>
      </x:c>
      <x:c r="H44" s="8" t="n">
        <x:v>0</x:v>
      </x:c>
      <x:c r="I44" s="9" t="n">
        <x:v>30</x:v>
      </x:c>
      <x:c r="J44" s="7" t="str"/>
    </x:row>
    <x:row r="45" ht="32" customHeight="1">
      <x:c r="A45" s="11" t="str">
        <x:v>A2</x:v>
      </x:c>
      <x:c r="B45" s="12" t="str">
        <x:v>1.3</x:v>
      </x:c>
      <x:c r="C45" s="13" t="str">
        <x:v>Generation</x:v>
      </x:c>
      <x:c r="D45" s="14"/>
      <x:c r="E45" s="14"/>
      <x:c r="F45" s="14"/>
      <x:c r="G45" s="14" t="str">
        <x:f>IF(AND(ISNUMBER(E45),ISNUMBER(F45)),E45+F45,"")</x:f>
      </x:c>
      <x:c r="H45" s="14"/>
      <x:c r="I45" s="15" t="n">
        <x:v>30</x:v>
      </x:c>
      <x:c r="J45" s="13" t="str">
        <x:v>Group or cross-reference; no separate numerical defaults</x:v>
      </x:c>
    </x:row>
    <x:row r="46" ht="32" customHeight="1">
      <x:c r="A46" s="11" t="str">
        <x:v>A2</x:v>
      </x:c>
      <x:c r="B46" s="12" t="str">
        <x:v>1.3.1</x:v>
      </x:c>
      <x:c r="C46" s="13" t="str">
        <x:v>Heat generators</x:v>
      </x:c>
      <x:c r="D46" s="14"/>
      <x:c r="E46" s="14"/>
      <x:c r="F46" s="14"/>
      <x:c r="G46" s="14" t="str">
        <x:f>IF(AND(ISNUMBER(E46),ISNUMBER(F46)),E46+F46,"")</x:f>
      </x:c>
      <x:c r="H46" s="14"/>
      <x:c r="I46" s="15" t="n">
        <x:v>30</x:v>
      </x:c>
      <x:c r="J46" s="13" t="str">
        <x:v>Group or cross-reference; no separate numerical defaults</x:v>
      </x:c>
    </x:row>
    <x:row r="47" ht="32" customHeight="1">
      <x:c r="A47" s="11" t="str">
        <x:v>A2</x:v>
      </x:c>
      <x:c r="B47" s="12" t="str">
        <x:v>1.3.1.1</x:v>
      </x:c>
      <x:c r="C47" s="13" t="str">
        <x:v>Gas fired heaters with burner, without fan</x:v>
      </x:c>
      <x:c r="D47" s="14"/>
      <x:c r="E47" s="14"/>
      <x:c r="F47" s="14"/>
      <x:c r="G47" s="14" t="str">
        <x:f>IF(AND(ISNUMBER(E47),ISNUMBER(F47)),E47+F47,"")</x:f>
      </x:c>
      <x:c r="H47" s="14"/>
      <x:c r="I47" s="15" t="n">
        <x:v>30</x:v>
      </x:c>
      <x:c r="J47" s="13" t="str">
        <x:v>Group or cross-reference; no separate numerical defaults</x:v>
      </x:c>
    </x:row>
    <x:row r="48" ht="32" customHeight="1">
      <x:c r="A48" s="1" t="str">
        <x:v>A2</x:v>
      </x:c>
      <x:c r="B48" s="10" t="str">
        <x:v>1.3.1.1</x:v>
      </x:c>
      <x:c r="C48" s="7" t="str">
        <x:v>Gas fired heaters with burner, without fan / Gas-fired circulation water heaters</x:v>
      </x:c>
      <x:c r="D48" s="8" t="n">
        <x:v>18</x:v>
      </x:c>
      <x:c r="E48" s="8" t="n">
        <x:v>2</x:v>
      </x:c>
      <x:c r="F48" s="8" t="n">
        <x:v>1.5</x:v>
      </x:c>
      <x:c r="G48" s="8" t="n">
        <x:f>IF(AND(ISNUMBER(E48),ISNUMBER(F48)),E48+F48,"")</x:f>
        <x:v>3.5</x:v>
      </x:c>
      <x:c r="H48" s="8" t="n">
        <x:v>5</x:v>
      </x:c>
      <x:c r="I48" s="9" t="n">
        <x:v>30</x:v>
      </x:c>
      <x:c r="J48" s="7" t="str">
        <x:v>Unnumbered subtype: parent VDI number retained</x:v>
      </x:c>
    </x:row>
    <x:row r="49" ht="32" customHeight="1">
      <x:c r="A49" s="1" t="str">
        <x:v>A2</x:v>
      </x:c>
      <x:c r="B49" s="10" t="str">
        <x:v>1.3.1.1</x:v>
      </x:c>
      <x:c r="C49" s="7" t="str">
        <x:v>Gas fired heaters with burner, without fan / Gas-fired storage water heaters</x:v>
      </x:c>
      <x:c r="D49" s="8" t="n">
        <x:v>15</x:v>
      </x:c>
      <x:c r="E49" s="8" t="n">
        <x:v>2</x:v>
      </x:c>
      <x:c r="F49" s="8" t="n">
        <x:v>1.5</x:v>
      </x:c>
      <x:c r="G49" s="8" t="n">
        <x:f>IF(AND(ISNUMBER(E49),ISNUMBER(F49)),E49+F49,"")</x:f>
        <x:v>3.5</x:v>
      </x:c>
      <x:c r="H49" s="8" t="n">
        <x:v>5</x:v>
      </x:c>
      <x:c r="I49" s="9" t="n">
        <x:v>30</x:v>
      </x:c>
      <x:c r="J49" s="7" t="str">
        <x:v>Unnumbered subtype: parent VDI number retained</x:v>
      </x:c>
    </x:row>
    <x:row r="50" ht="60" customHeight="1">
      <x:c r="A50" s="1" t="str">
        <x:v>A2</x:v>
      </x:c>
      <x:c r="B50" s="10" t="str">
        <x:v>1.3.1.1</x:v>
      </x:c>
      <x:c r="C50" s="7" t="str">
        <x:v>Gas fired heaters with burner, without fan / Gas-fired condensing boilers, wall-mounted, under 100 kW</x:v>
      </x:c>
      <x:c r="D50" s="8" t="n">
        <x:v>18</x:v>
      </x:c>
      <x:c r="E50" s="8" t="n">
        <x:v>1.5</x:v>
      </x:c>
      <x:c r="F50" s="8" t="n">
        <x:v>1.5</x:v>
      </x:c>
      <x:c r="G50" s="8" t="n">
        <x:f>IF(AND(ISNUMBER(E50),ISNUMBER(F50)),E50+F50,"")</x:f>
        <x:v>3</x:v>
      </x:c>
      <x:c r="H50" s="8" t="n">
        <x:v>10</x:v>
      </x:c>
      <x:c r="I50" s="9" t="n">
        <x:v>30</x:v>
      </x:c>
      <x:c r="J50" s="7" t="str">
        <x:v>Unnumbered subtype: parent VDI number retained</x:v>
      </x:c>
    </x:row>
    <x:row r="51" ht="60" customHeight="1">
      <x:c r="A51" s="1" t="str">
        <x:v>A2</x:v>
      </x:c>
      <x:c r="B51" s="10" t="str">
        <x:v>1.3.1.1</x:v>
      </x:c>
      <x:c r="C51" s="7" t="str">
        <x:v>Gas fired heaters with burner, without fan / Gas-fired condensing boilers, floor-mounted, under 200 kW</x:v>
      </x:c>
      <x:c r="D51" s="8" t="n">
        <x:v>20</x:v>
      </x:c>
      <x:c r="E51" s="8" t="n">
        <x:v>1</x:v>
      </x:c>
      <x:c r="F51" s="8" t="n">
        <x:v>1.5</x:v>
      </x:c>
      <x:c r="G51" s="8" t="n">
        <x:f>IF(AND(ISNUMBER(E51),ISNUMBER(F51)),E51+F51,"")</x:f>
        <x:v>2.5</x:v>
      </x:c>
      <x:c r="H51" s="8" t="n">
        <x:v>20</x:v>
      </x:c>
      <x:c r="I51" s="9" t="n">
        <x:v>30</x:v>
      </x:c>
      <x:c r="J51" s="7" t="str">
        <x:v>Unnumbered subtype: parent VDI number retained</x:v>
      </x:c>
    </x:row>
    <x:row r="52" ht="60" customHeight="1">
      <x:c r="A52" s="1" t="str">
        <x:v>A2</x:v>
      </x:c>
      <x:c r="B52" s="10" t="str">
        <x:v>1.3.1.1</x:v>
      </x:c>
      <x:c r="C52" s="7" t="str">
        <x:v>Gas fired heaters with burner, without fan / Gas-fired condensing boilers, floor-mounted, over 200 kW with neutralization unit</x:v>
      </x:c>
      <x:c r="D52" s="8" t="n">
        <x:v>20</x:v>
      </x:c>
      <x:c r="E52" s="8" t="n">
        <x:v>1</x:v>
      </x:c>
      <x:c r="F52" s="8" t="n">
        <x:v>2</x:v>
      </x:c>
      <x:c r="G52" s="8" t="n">
        <x:f>IF(AND(ISNUMBER(E52),ISNUMBER(F52)),E52+F52,"")</x:f>
        <x:v>3</x:v>
      </x:c>
      <x:c r="H52" s="8" t="n">
        <x:v>20</x:v>
      </x:c>
      <x:c r="I52" s="9" t="n">
        <x:v>30</x:v>
      </x:c>
      <x:c r="J52" s="7" t="str">
        <x:v>Unnumbered subtype: parent VDI number retained</x:v>
      </x:c>
    </x:row>
    <x:row r="53" ht="32" customHeight="1">
      <x:c r="A53" s="11" t="str">
        <x:v>A2</x:v>
      </x:c>
      <x:c r="B53" s="12" t="str">
        <x:v>1.3.1.2</x:v>
      </x:c>
      <x:c r="C53" s="13" t="str">
        <x:v>Special boilers for oil and gas firing</x:v>
      </x:c>
      <x:c r="D53" s="14"/>
      <x:c r="E53" s="14"/>
      <x:c r="F53" s="14"/>
      <x:c r="G53" s="14" t="str">
        <x:f>IF(AND(ISNUMBER(E53),ISNUMBER(F53)),E53+F53,"")</x:f>
      </x:c>
      <x:c r="H53" s="14"/>
      <x:c r="I53" s="15" t="n">
        <x:v>30</x:v>
      </x:c>
      <x:c r="J53" s="13" t="str">
        <x:v>Group or cross-reference; no separate numerical defaults</x:v>
      </x:c>
    </x:row>
    <x:row r="54" ht="32" customHeight="1">
      <x:c r="A54" s="1" t="str">
        <x:v>A2</x:v>
      </x:c>
      <x:c r="B54" s="10" t="str">
        <x:v>1.3.1.2</x:v>
      </x:c>
      <x:c r="C54" s="7" t="str">
        <x:v>Special boilers for oil and gas firing / Special boilers for oil and gas firing, under 120 kW</x:v>
      </x:c>
      <x:c r="D54" s="8" t="n">
        <x:v>20</x:v>
      </x:c>
      <x:c r="E54" s="8" t="n">
        <x:v>2</x:v>
      </x:c>
      <x:c r="F54" s="8" t="n">
        <x:v>1.5</x:v>
      </x:c>
      <x:c r="G54" s="8" t="n">
        <x:f>IF(AND(ISNUMBER(E54),ISNUMBER(F54)),E54+F54,"")</x:f>
        <x:v>3.5</x:v>
      </x:c>
      <x:c r="H54" s="8" t="n">
        <x:v>10</x:v>
      </x:c>
      <x:c r="I54" s="9" t="n">
        <x:v>30</x:v>
      </x:c>
      <x:c r="J54" s="7" t="str">
        <x:v>Unnumbered subtype: parent VDI number retained</x:v>
      </x:c>
    </x:row>
    <x:row r="55" ht="60" customHeight="1">
      <x:c r="A55" s="1" t="str">
        <x:v>A2</x:v>
      </x:c>
      <x:c r="B55" s="10" t="str">
        <x:v>1.3.1.2</x:v>
      </x:c>
      <x:c r="C55" s="7" t="str">
        <x:v>Special boilers for oil and gas firing / Boilers over 120 kW as special boilers for oil and gas firing as cast-iron or steel boilers</x:v>
      </x:c>
      <x:c r="D55" s="8" t="n">
        <x:v>20</x:v>
      </x:c>
      <x:c r="E55" s="8" t="n">
        <x:v>2</x:v>
      </x:c>
      <x:c r="F55" s="8" t="n">
        <x:v>2</x:v>
      </x:c>
      <x:c r="G55" s="8" t="n">
        <x:f>IF(AND(ISNUMBER(E55),ISNUMBER(F55)),E55+F55,"")</x:f>
        <x:v>4</x:v>
      </x:c>
      <x:c r="H55" s="8" t="n">
        <x:v>10</x:v>
      </x:c>
      <x:c r="I55" s="9" t="n">
        <x:v>30</x:v>
      </x:c>
      <x:c r="J55" s="7" t="str">
        <x:v>Unnumbered subtype: parent VDI number retained</x:v>
      </x:c>
    </x:row>
    <x:row r="56" ht="32" customHeight="1">
      <x:c r="A56" s="11" t="str">
        <x:v>A2</x:v>
      </x:c>
      <x:c r="B56" s="12" t="str">
        <x:v>1.3.1.3</x:v>
      </x:c>
      <x:c r="C56" s="13" t="str">
        <x:v>Solid fuel fired boilers</x:v>
      </x:c>
      <x:c r="D56" s="14"/>
      <x:c r="E56" s="14"/>
      <x:c r="F56" s="14"/>
      <x:c r="G56" s="14" t="str">
        <x:f>IF(AND(ISNUMBER(E56),ISNUMBER(F56)),E56+F56,"")</x:f>
      </x:c>
      <x:c r="H56" s="14"/>
      <x:c r="I56" s="15" t="n">
        <x:v>30</x:v>
      </x:c>
      <x:c r="J56" s="13" t="str">
        <x:v>Group or cross-reference; no separate numerical defaults</x:v>
      </x:c>
    </x:row>
    <x:row r="57" ht="60" customHeight="1">
      <x:c r="A57" s="1" t="str">
        <x:v>A2</x:v>
      </x:c>
      <x:c r="B57" s="10" t="str">
        <x:v>1.3.1.3</x:v>
      </x:c>
      <x:c r="C57" s="7" t="str">
        <x:v>Solid fuel fired boilers / Cast-iron sectional boilers, only for heating without return-temperature raising</x:v>
      </x:c>
      <x:c r="D57" s="8" t="n">
        <x:v>20</x:v>
      </x:c>
      <x:c r="E57" s="8" t="n">
        <x:v>3</x:v>
      </x:c>
      <x:c r="F57" s="8" t="n">
        <x:v>2.5</x:v>
      </x:c>
      <x:c r="G57" s="8" t="n">
        <x:f>IF(AND(ISNUMBER(E57),ISNUMBER(F57)),E57+F57,"")</x:f>
        <x:v>5.5</x:v>
      </x:c>
      <x:c r="H57" s="8" t="n">
        <x:v>10</x:v>
      </x:c>
      <x:c r="I57" s="9" t="n">
        <x:v>30</x:v>
      </x:c>
      <x:c r="J57" s="7" t="str">
        <x:v>Unnumbered subtype: parent VDI number retained</x:v>
      </x:c>
    </x:row>
    <x:row r="58" ht="60" customHeight="1">
      <x:c r="A58" s="1" t="str">
        <x:v>A2</x:v>
      </x:c>
      <x:c r="B58" s="10" t="str">
        <x:v>1.3.1.3</x:v>
      </x:c>
      <x:c r="C58" s="7" t="str">
        <x:v>Solid fuel fired boilers / Steel boilers of similar design, only for heating without return-temperature raising in single family house</x:v>
      </x:c>
      <x:c r="D58" s="8" t="n">
        <x:v>15</x:v>
      </x:c>
      <x:c r="E58" s="8" t="n">
        <x:v>2</x:v>
      </x:c>
      <x:c r="F58" s="8" t="n">
        <x:v>2.5</x:v>
      </x:c>
      <x:c r="G58" s="8" t="n">
        <x:f>IF(AND(ISNUMBER(E58),ISNUMBER(F58)),E58+F58,"")</x:f>
        <x:v>4.5</x:v>
      </x:c>
      <x:c r="H58" s="8" t="n">
        <x:v>20</x:v>
      </x:c>
      <x:c r="I58" s="9" t="n">
        <x:v>30</x:v>
      </x:c>
      <x:c r="J58" s="7" t="str">
        <x:v>Unnumbered subtype: parent VDI number retained</x:v>
      </x:c>
    </x:row>
    <x:row r="59" ht="32" customHeight="1">
      <x:c r="A59" s="1" t="str">
        <x:v>A2</x:v>
      </x:c>
      <x:c r="B59" s="10" t="str">
        <x:v>1.3.1.3</x:v>
      </x:c>
      <x:c r="C59" s="7" t="str">
        <x:v>Solid fuel fired boilers / Wood pellet boilers</x:v>
      </x:c>
      <x:c r="D59" s="8" t="n">
        <x:v>15</x:v>
      </x:c>
      <x:c r="E59" s="8" t="n">
        <x:v>3</x:v>
      </x:c>
      <x:c r="F59" s="8" t="n">
        <x:v>3</x:v>
      </x:c>
      <x:c r="G59" s="8" t="n">
        <x:f>IF(AND(ISNUMBER(E59),ISNUMBER(F59)),E59+F59,"")</x:f>
        <x:v>6</x:v>
      </x:c>
      <x:c r="H59" s="8" t="n">
        <x:v>15</x:v>
      </x:c>
      <x:c r="I59" s="9" t="n">
        <x:v>30</x:v>
      </x:c>
      <x:c r="J59" s="7" t="str">
        <x:v>Unnumbered subtype: parent VDI number retained</x:v>
      </x:c>
    </x:row>
    <x:row r="60" ht="32" customHeight="1">
      <x:c r="A60" s="1" t="str">
        <x:v>A2</x:v>
      </x:c>
      <x:c r="B60" s="10" t="str">
        <x:v>1.3.1.3</x:v>
      </x:c>
      <x:c r="C60" s="7" t="str">
        <x:v>Solid fuel fired boilers / Woodchip boilers</x:v>
      </x:c>
      <x:c r="D60" s="8" t="n">
        <x:v>15</x:v>
      </x:c>
      <x:c r="E60" s="8" t="n">
        <x:v>3</x:v>
      </x:c>
      <x:c r="F60" s="8" t="n">
        <x:v>3</x:v>
      </x:c>
      <x:c r="G60" s="8" t="n">
        <x:f>IF(AND(ISNUMBER(E60),ISNUMBER(F60)),E60+F60,"")</x:f>
        <x:v>6</x:v>
      </x:c>
      <x:c r="H60" s="8" t="n">
        <x:v>20</x:v>
      </x:c>
      <x:c r="I60" s="9" t="n">
        <x:v>30</x:v>
      </x:c>
      <x:c r="J60" s="7" t="str">
        <x:v>Unnumbered subtype: parent VDI number retained</x:v>
      </x:c>
    </x:row>
    <x:row r="61" ht="32" customHeight="1">
      <x:c r="A61" s="1" t="str">
        <x:v>A2</x:v>
      </x:c>
      <x:c r="B61" s="10" t="str">
        <x:v>1.3.1.4</x:v>
      </x:c>
      <x:c r="C61" s="7" t="str">
        <x:v>High-speed steam generators</x:v>
      </x:c>
      <x:c r="D61" s="8" t="n">
        <x:v>10</x:v>
      </x:c>
      <x:c r="E61" s="8" t="n">
        <x:v>4</x:v>
      </x:c>
      <x:c r="F61" s="8" t="n">
        <x:v>1.5</x:v>
      </x:c>
      <x:c r="G61" s="8" t="n">
        <x:f>IF(AND(ISNUMBER(E61),ISNUMBER(F61)),E61+F61,"")</x:f>
        <x:v>5.5</x:v>
      </x:c>
      <x:c r="H61" s="8" t="n">
        <x:v>50</x:v>
      </x:c>
      <x:c r="I61" s="9" t="n">
        <x:v>30</x:v>
      </x:c>
      <x:c r="J61" s="7" t="str"/>
    </x:row>
    <x:row r="62" ht="32" customHeight="1">
      <x:c r="A62" s="1" t="str">
        <x:v>A2</x:v>
      </x:c>
      <x:c r="B62" s="10" t="str">
        <x:v>1.3.1.5</x:v>
      </x:c>
      <x:c r="C62" s="7" t="str">
        <x:v>Fire tube boilers and water-tube boilers &gt; 1 MW</x:v>
      </x:c>
      <x:c r="D62" s="8" t="n">
        <x:v>25</x:v>
      </x:c>
      <x:c r="E62" s="8" t="n">
        <x:v>2</x:v>
      </x:c>
      <x:c r="F62" s="8" t="n">
        <x:v>1.5</x:v>
      </x:c>
      <x:c r="G62" s="8" t="n">
        <x:f>IF(AND(ISNUMBER(E62),ISNUMBER(F62)),E62+F62,"")</x:f>
        <x:v>3.5</x:v>
      </x:c>
      <x:c r="H62" s="8" t="n">
        <x:v>80</x:v>
      </x:c>
      <x:c r="I62" s="9" t="n">
        <x:v>30</x:v>
      </x:c>
      <x:c r="J62" s="7" t="str"/>
    </x:row>
    <x:row r="63" ht="32" customHeight="1">
      <x:c r="A63" s="11" t="str">
        <x:v>A2</x:v>
      </x:c>
      <x:c r="B63" s="12" t="str">
        <x:v>1.3.1.6</x:v>
      </x:c>
      <x:c r="C63" s="13" t="str">
        <x:v>Burners</x:v>
      </x:c>
      <x:c r="D63" s="14"/>
      <x:c r="E63" s="14"/>
      <x:c r="F63" s="14"/>
      <x:c r="G63" s="14" t="str">
        <x:f>IF(AND(ISNUMBER(E63),ISNUMBER(F63)),E63+F63,"")</x:f>
      </x:c>
      <x:c r="H63" s="14"/>
      <x:c r="I63" s="15" t="n">
        <x:v>30</x:v>
      </x:c>
      <x:c r="J63" s="13" t="str">
        <x:v>Group or cross-reference; no separate numerical defaults</x:v>
      </x:c>
    </x:row>
    <x:row r="64" ht="32" customHeight="1">
      <x:c r="A64" s="1" t="str">
        <x:v>A2</x:v>
      </x:c>
      <x:c r="B64" s="10" t="str">
        <x:v>1.3.1.6</x:v>
      </x:c>
      <x:c r="C64" s="7" t="str">
        <x:v>Burners / Gas burners without fan</x:v>
      </x:c>
      <x:c r="D64" s="8" t="n">
        <x:v>20</x:v>
      </x:c>
      <x:c r="E64" s="8" t="n">
        <x:v>1</x:v>
      </x:c>
      <x:c r="F64" s="8" t="n">
        <x:v>2</x:v>
      </x:c>
      <x:c r="G64" s="8" t="n">
        <x:f>IF(AND(ISNUMBER(E64),ISNUMBER(F64)),E64+F64,"")</x:f>
        <x:v>3</x:v>
      </x:c>
      <x:c r="H64" s="8" t="n">
        <x:v>0</x:v>
      </x:c>
      <x:c r="I64" s="9" t="n">
        <x:v>30</x:v>
      </x:c>
      <x:c r="J64" s="7" t="str">
        <x:v>Unnumbered subtype: parent VDI number retained</x:v>
      </x:c>
    </x:row>
    <x:row r="65" ht="32" customHeight="1">
      <x:c r="A65" s="1" t="str">
        <x:v>A2</x:v>
      </x:c>
      <x:c r="B65" s="10" t="str">
        <x:v>1.3.1.6</x:v>
      </x:c>
      <x:c r="C65" s="7" t="str">
        <x:v>Burners / Gas burners with fan and accessories</x:v>
      </x:c>
      <x:c r="D65" s="8" t="n">
        <x:v>16</x:v>
      </x:c>
      <x:c r="E65" s="8" t="n">
        <x:v>2</x:v>
      </x:c>
      <x:c r="F65" s="8" t="n">
        <x:v>10</x:v>
      </x:c>
      <x:c r="G65" s="8" t="n">
        <x:f>IF(AND(ISNUMBER(E65),ISNUMBER(F65)),E65+F65,"")</x:f>
        <x:v>12</x:v>
      </x:c>
      <x:c r="H65" s="8" t="n">
        <x:v>0</x:v>
      </x:c>
      <x:c r="I65" s="9" t="n">
        <x:v>30</x:v>
      </x:c>
      <x:c r="J65" s="7" t="str">
        <x:v>Unnumbered subtype: parent VDI number retained</x:v>
      </x:c>
    </x:row>
    <x:row r="66" ht="32" customHeight="1">
      <x:c r="A66" s="1" t="str">
        <x:v>A2</x:v>
      </x:c>
      <x:c r="B66" s="10" t="str">
        <x:v>1.3.1.6</x:v>
      </x:c>
      <x:c r="C66" s="7" t="str">
        <x:v>Burners / Oil burners with fan and accessories</x:v>
      </x:c>
      <x:c r="D66" s="8" t="n">
        <x:v>12</x:v>
      </x:c>
      <x:c r="E66" s="8" t="n">
        <x:v>2</x:v>
      </x:c>
      <x:c r="F66" s="8" t="n">
        <x:v>10</x:v>
      </x:c>
      <x:c r="G66" s="8" t="n">
        <x:f>IF(AND(ISNUMBER(E66),ISNUMBER(F66)),E66+F66,"")</x:f>
        <x:v>12</x:v>
      </x:c>
      <x:c r="H66" s="8" t="n">
        <x:v>0</x:v>
      </x:c>
      <x:c r="I66" s="9" t="n">
        <x:v>30</x:v>
      </x:c>
      <x:c r="J66" s="7" t="str">
        <x:v>Unnumbered subtype: parent VDI number retained</x:v>
      </x:c>
    </x:row>
    <x:row r="67" ht="32" customHeight="1">
      <x:c r="A67" s="11" t="str">
        <x:v>A2</x:v>
      </x:c>
      <x:c r="B67" s="12" t="str">
        <x:v>1.3.1.7</x:v>
      </x:c>
      <x:c r="C67" s="13" t="str">
        <x:v>Electrical heating</x:v>
      </x:c>
      <x:c r="D67" s="14"/>
      <x:c r="E67" s="14"/>
      <x:c r="F67" s="14"/>
      <x:c r="G67" s="14" t="str">
        <x:f>IF(AND(ISNUMBER(E67),ISNUMBER(F67)),E67+F67,"")</x:f>
      </x:c>
      <x:c r="H67" s="14"/>
      <x:c r="I67" s="15" t="n">
        <x:v>30</x:v>
      </x:c>
      <x:c r="J67" s="13" t="str">
        <x:v>Group or cross-reference; no separate numerical defaults</x:v>
      </x:c>
    </x:row>
    <x:row r="68" ht="32" customHeight="1">
      <x:c r="A68" s="1" t="str">
        <x:v>A2</x:v>
      </x:c>
      <x:c r="B68" s="10" t="str">
        <x:v>1.3.1.7</x:v>
      </x:c>
      <x:c r="C68" s="7" t="str">
        <x:v>Electrical heating / Central electrical storage heaters</x:v>
      </x:c>
      <x:c r="D68" s="8" t="n">
        <x:v>20</x:v>
      </x:c>
      <x:c r="E68" s="8" t="n">
        <x:v>1</x:v>
      </x:c>
      <x:c r="F68" s="8" t="n">
        <x:v>2</x:v>
      </x:c>
      <x:c r="G68" s="8" t="n">
        <x:f>IF(AND(ISNUMBER(E68),ISNUMBER(F68)),E68+F68,"")</x:f>
        <x:v>3</x:v>
      </x:c>
      <x:c r="H68" s="8" t="n">
        <x:v>5</x:v>
      </x:c>
      <x:c r="I68" s="9" t="n">
        <x:v>30</x:v>
      </x:c>
      <x:c r="J68" s="7" t="str">
        <x:v>Unnumbered subtype: parent VDI number retained</x:v>
      </x:c>
    </x:row>
    <x:row r="69" ht="32" customHeight="1">
      <x:c r="A69" s="11" t="str">
        <x:v>A2</x:v>
      </x:c>
      <x:c r="B69" s="12" t="str">
        <x:v>1.3.1.8</x:v>
      </x:c>
      <x:c r="C69" s="13" t="str">
        <x:v>Heat pumps</x:v>
      </x:c>
      <x:c r="D69" s="14"/>
      <x:c r="E69" s="14"/>
      <x:c r="F69" s="14"/>
      <x:c r="G69" s="14" t="str">
        <x:f>IF(AND(ISNUMBER(E69),ISNUMBER(F69)),E69+F69,"")</x:f>
      </x:c>
      <x:c r="H69" s="14"/>
      <x:c r="I69" s="15" t="n">
        <x:v>30</x:v>
      </x:c>
      <x:c r="J69" s="13" t="str">
        <x:v>Group or cross-reference; no separate numerical defaults</x:v>
      </x:c>
    </x:row>
    <x:row r="70" ht="32" customHeight="1">
      <x:c r="A70" s="1" t="str">
        <x:v>A2</x:v>
      </x:c>
      <x:c r="B70" s="10" t="str">
        <x:v>1.3.1.8</x:v>
      </x:c>
      <x:c r="C70" s="7" t="str">
        <x:v>Heat pumps / Air/water (electrical)</x:v>
      </x:c>
      <x:c r="D70" s="8" t="n">
        <x:v>18</x:v>
      </x:c>
      <x:c r="E70" s="8" t="n">
        <x:v>1</x:v>
      </x:c>
      <x:c r="F70" s="8" t="n">
        <x:v>1.5</x:v>
      </x:c>
      <x:c r="G70" s="8" t="n">
        <x:f>IF(AND(ISNUMBER(E70),ISNUMBER(F70)),E70+F70,"")</x:f>
        <x:v>2.5</x:v>
      </x:c>
      <x:c r="H70" s="8" t="n">
        <x:v>5</x:v>
      </x:c>
      <x:c r="I70" s="9" t="n">
        <x:v>30</x:v>
      </x:c>
      <x:c r="J70" s="7" t="str">
        <x:v>Unnumbered subtype: parent VDI number retained</x:v>
      </x:c>
    </x:row>
    <x:row r="71" ht="32" customHeight="1">
      <x:c r="A71" s="1" t="str">
        <x:v>A2</x:v>
      </x:c>
      <x:c r="B71" s="10" t="str">
        <x:v>1.3.1.8</x:v>
      </x:c>
      <x:c r="C71" s="7" t="str">
        <x:v>Heat pumps / Brine/water, water/water (electrical)</x:v>
      </x:c>
      <x:c r="D71" s="8" t="n">
        <x:v>20</x:v>
      </x:c>
      <x:c r="E71" s="8" t="n">
        <x:v>1</x:v>
      </x:c>
      <x:c r="F71" s="8" t="n">
        <x:v>1.5</x:v>
      </x:c>
      <x:c r="G71" s="8" t="n">
        <x:f>IF(AND(ISNUMBER(E71),ISNUMBER(F71)),E71+F71,"")</x:f>
        <x:v>2.5</x:v>
      </x:c>
      <x:c r="H71" s="8" t="n">
        <x:v>5</x:v>
      </x:c>
      <x:c r="I71" s="9" t="n">
        <x:v>30</x:v>
      </x:c>
      <x:c r="J71" s="7" t="str">
        <x:v>Unnumbered subtype: parent VDI number retained</x:v>
      </x:c>
    </x:row>
    <x:row r="72" ht="32" customHeight="1">
      <x:c r="A72" s="1" t="str">
        <x:v>A2</x:v>
      </x:c>
      <x:c r="B72" s="10" t="str">
        <x:v>1.3.1.8</x:v>
      </x:c>
      <x:c r="C72" s="7" t="str">
        <x:v>Heat pumps / Gas</x:v>
      </x:c>
      <x:c r="D72" s="8" t="n">
        <x:v>15</x:v>
      </x:c>
      <x:c r="E72" s="8" t="n">
        <x:v>3</x:v>
      </x:c>
      <x:c r="F72" s="8" t="n">
        <x:v>1.5</x:v>
      </x:c>
      <x:c r="G72" s="8" t="n">
        <x:f>IF(AND(ISNUMBER(E72),ISNUMBER(F72)),E72+F72,"")</x:f>
        <x:v>4.5</x:v>
      </x:c>
      <x:c r="H72" s="8" t="n">
        <x:v>40</x:v>
      </x:c>
      <x:c r="I72" s="9" t="n">
        <x:v>30</x:v>
      </x:c>
      <x:c r="J72" s="7" t="str">
        <x:v>Unnumbered subtype: parent VDI number retained</x:v>
      </x:c>
    </x:row>
    <x:row r="73" ht="32" customHeight="1">
      <x:c r="A73" s="1" t="str">
        <x:v>A2</x:v>
      </x:c>
      <x:c r="B73" s="10" t="str">
        <x:v>1.3.1.9</x:v>
      </x:c>
      <x:c r="C73" s="7" t="str">
        <x:v>Combined heat and power/co-generation plants</x:v>
      </x:c>
      <x:c r="D73" s="8" t="n">
        <x:v>15</x:v>
      </x:c>
      <x:c r="E73" s="8" t="n">
        <x:v>6</x:v>
      </x:c>
      <x:c r="F73" s="8" t="n">
        <x:v>2</x:v>
      </x:c>
      <x:c r="G73" s="8" t="n">
        <x:f>IF(AND(ISNUMBER(E73),ISNUMBER(F73)),E73+F73,"")</x:f>
        <x:v>8</x:v>
      </x:c>
      <x:c r="H73" s="8" t="n">
        <x:v>100</x:v>
      </x:c>
      <x:c r="I73" s="9" t="n">
        <x:v>30</x:v>
      </x:c>
      <x:c r="J73" s="7" t="str"/>
    </x:row>
    <x:row r="74" ht="32" customHeight="1">
      <x:c r="A74" s="11" t="str">
        <x:v>A2</x:v>
      </x:c>
      <x:c r="B74" s="12" t="str">
        <x:v>1.3.1.10</x:v>
      </x:c>
      <x:c r="C74" s="13" t="str">
        <x:v>Solar thermal collectors</x:v>
      </x:c>
      <x:c r="D74" s="14"/>
      <x:c r="E74" s="14"/>
      <x:c r="F74" s="14"/>
      <x:c r="G74" s="14" t="str">
        <x:f>IF(AND(ISNUMBER(E74),ISNUMBER(F74)),E74+F74,"")</x:f>
      </x:c>
      <x:c r="H74" s="14"/>
      <x:c r="I74" s="15" t="n">
        <x:v>31</x:v>
      </x:c>
      <x:c r="J74" s="13" t="str">
        <x:v>Group or cross-reference; no separate numerical defaults</x:v>
      </x:c>
    </x:row>
    <x:row r="75" ht="32" customHeight="1">
      <x:c r="A75" s="1" t="str">
        <x:v>A2</x:v>
      </x:c>
      <x:c r="B75" s="10" t="str">
        <x:v>1.3.1.10</x:v>
      </x:c>
      <x:c r="C75" s="7" t="str">
        <x:v>Solar thermal collectors / Absorber</x:v>
      </x:c>
      <x:c r="D75" s="8" t="n">
        <x:v>18</x:v>
      </x:c>
      <x:c r="E75" s="8" t="n">
        <x:v>0.5</x:v>
      </x:c>
      <x:c r="F75" s="8" t="n">
        <x:v>1</x:v>
      </x:c>
      <x:c r="G75" s="8" t="n">
        <x:f>IF(AND(ISNUMBER(E75),ISNUMBER(F75)),E75+F75,"")</x:f>
        <x:v>1.5</x:v>
      </x:c>
      <x:c r="H75" s="8" t="n">
        <x:v>5</x:v>
      </x:c>
      <x:c r="I75" s="9" t="n">
        <x:v>31</x:v>
      </x:c>
      <x:c r="J75" s="7" t="str">
        <x:v>Unnumbered subtype: parent VDI number retained</x:v>
      </x:c>
    </x:row>
    <x:row r="76" ht="32" customHeight="1">
      <x:c r="A76" s="1" t="str">
        <x:v>A2</x:v>
      </x:c>
      <x:c r="B76" s="10" t="str">
        <x:v>1.3.1.10</x:v>
      </x:c>
      <x:c r="C76" s="7" t="str">
        <x:v>Solar thermal collectors / Flat plate collector</x:v>
      </x:c>
      <x:c r="D76" s="8" t="n">
        <x:v>20</x:v>
      </x:c>
      <x:c r="E76" s="8" t="n">
        <x:v>0.5</x:v>
      </x:c>
      <x:c r="F76" s="8" t="n">
        <x:v>1</x:v>
      </x:c>
      <x:c r="G76" s="8" t="n">
        <x:f>IF(AND(ISNUMBER(E76),ISNUMBER(F76)),E76+F76,"")</x:f>
        <x:v>1.5</x:v>
      </x:c>
      <x:c r="H76" s="8" t="n">
        <x:v>5</x:v>
      </x:c>
      <x:c r="I76" s="9" t="n">
        <x:v>31</x:v>
      </x:c>
      <x:c r="J76" s="7" t="str">
        <x:v>Unnumbered subtype: parent VDI number retained</x:v>
      </x:c>
    </x:row>
    <x:row r="77" ht="32" customHeight="1">
      <x:c r="A77" s="1" t="str">
        <x:v>A2</x:v>
      </x:c>
      <x:c r="B77" s="10" t="str">
        <x:v>1.3.1.10</x:v>
      </x:c>
      <x:c r="C77" s="7" t="str">
        <x:v>Solar thermal collectors / Vacuum tube collector</x:v>
      </x:c>
      <x:c r="D77" s="8" t="n">
        <x:v>18</x:v>
      </x:c>
      <x:c r="E77" s="8" t="n">
        <x:v>0.5</x:v>
      </x:c>
      <x:c r="F77" s="8" t="n">
        <x:v>1</x:v>
      </x:c>
      <x:c r="G77" s="8" t="n">
        <x:f>IF(AND(ISNUMBER(E77),ISNUMBER(F77)),E77+F77,"")</x:f>
        <x:v>1.5</x:v>
      </x:c>
      <x:c r="H77" s="8" t="n">
        <x:v>5</x:v>
      </x:c>
      <x:c r="I77" s="9" t="n">
        <x:v>31</x:v>
      </x:c>
      <x:c r="J77" s="7" t="str">
        <x:v>Unnumbered subtype: parent VDI number retained</x:v>
      </x:c>
    </x:row>
    <x:row r="78" ht="32" customHeight="1">
      <x:c r="A78" s="1" t="str">
        <x:v>A2</x:v>
      </x:c>
      <x:c r="B78" s="10" t="str">
        <x:v>1.3.1.10</x:v>
      </x:c>
      <x:c r="C78" s="7" t="str">
        <x:v>Solar thermal collectors / Vacuum flat plate collector</x:v>
      </x:c>
      <x:c r="D78" s="8" t="n">
        <x:v>15</x:v>
      </x:c>
      <x:c r="E78" s="8" t="n">
        <x:v>0.5</x:v>
      </x:c>
      <x:c r="F78" s="8" t="n">
        <x:v>1</x:v>
      </x:c>
      <x:c r="G78" s="8" t="n">
        <x:f>IF(AND(ISNUMBER(E78),ISNUMBER(F78)),E78+F78,"")</x:f>
        <x:v>1.5</x:v>
      </x:c>
      <x:c r="H78" s="8" t="n">
        <x:v>5</x:v>
      </x:c>
      <x:c r="I78" s="9" t="n">
        <x:v>31</x:v>
      </x:c>
      <x:c r="J78" s="7" t="str">
        <x:v>Unnumbered subtype: parent VDI number retained</x:v>
      </x:c>
    </x:row>
    <x:row r="79" ht="32" customHeight="1">
      <x:c r="A79" s="11" t="str">
        <x:v>A2</x:v>
      </x:c>
      <x:c r="B79" s="12" t="str">
        <x:v>1.3.3</x:v>
      </x:c>
      <x:c r="C79" s="13" t="str">
        <x:v>Heat exchanger with copper battery, soldered or equivalent, including control system</x:v>
      </x:c>
      <x:c r="D79" s="14"/>
      <x:c r="E79" s="14"/>
      <x:c r="F79" s="14"/>
      <x:c r="G79" s="14" t="str">
        <x:f>IF(AND(ISNUMBER(E79),ISNUMBER(F79)),E79+F79,"")</x:f>
      </x:c>
      <x:c r="H79" s="14"/>
      <x:c r="I79" s="15" t="n">
        <x:v>31</x:v>
      </x:c>
      <x:c r="J79" s="13" t="str">
        <x:v>Group or cross-reference; no separate numerical defaults</x:v>
      </x:c>
    </x:row>
    <x:row r="80" ht="32" customHeight="1">
      <x:c r="A80" s="1" t="str">
        <x:v>A2</x:v>
      </x:c>
      <x:c r="B80" s="10" t="str">
        <x:v>1.3.3</x:v>
      </x:c>
      <x:c r="C80" s="7" t="str">
        <x:v>Heat exchanger with copper battery, soldered or equivalent, including control system / Heating water</x:v>
      </x:c>
      <x:c r="D80" s="8" t="n">
        <x:v>20</x:v>
      </x:c>
      <x:c r="E80" s="8" t="n">
        <x:v>2</x:v>
      </x:c>
      <x:c r="F80" s="8" t="n">
        <x:v>0</x:v>
      </x:c>
      <x:c r="G80" s="8" t="n">
        <x:f>IF(AND(ISNUMBER(E80),ISNUMBER(F80)),E80+F80,"")</x:f>
        <x:v>2</x:v>
      </x:c>
      <x:c r="H80" s="8" t="n">
        <x:v>0</x:v>
      </x:c>
      <x:c r="I80" s="9" t="n">
        <x:v>31</x:v>
      </x:c>
      <x:c r="J80" s="7" t="str">
        <x:v>Unnumbered subtype: parent VDI number retained</x:v>
      </x:c>
    </x:row>
    <x:row r="81" ht="60" customHeight="1">
      <x:c r="A81" s="1" t="str">
        <x:v>A2</x:v>
      </x:c>
      <x:c r="B81" s="10" t="str">
        <x:v>1.3.3</x:v>
      </x:c>
      <x:c r="C81" s="7" t="str">
        <x:v>Heat exchanger with copper battery, soldered or equivalent, including control system / Heating water/tap water</x:v>
      </x:c>
      <x:c r="D81" s="8" t="n">
        <x:v>15</x:v>
      </x:c>
      <x:c r="E81" s="8" t="n">
        <x:v>2</x:v>
      </x:c>
      <x:c r="F81" s="8" t="n">
        <x:v>0</x:v>
      </x:c>
      <x:c r="G81" s="8" t="n">
        <x:f>IF(AND(ISNUMBER(E81),ISNUMBER(F81)),E81+F81,"")</x:f>
        <x:v>2</x:v>
      </x:c>
      <x:c r="H81" s="8" t="n">
        <x:v>0</x:v>
      </x:c>
      <x:c r="I81" s="9" t="n">
        <x:v>31</x:v>
      </x:c>
      <x:c r="J81" s="7" t="str">
        <x:v>Unnumbered subtype: parent VDI number retained</x:v>
      </x:c>
    </x:row>
    <x:row r="82" ht="60" customHeight="1">
      <x:c r="A82" s="1" t="str">
        <x:v>A2</x:v>
      </x:c>
      <x:c r="B82" s="10" t="str">
        <x:v>1.3.3</x:v>
      </x:c>
      <x:c r="C82" s="7" t="str">
        <x:v>Heat exchanger with copper battery, soldered or equivalent, including control system / Heating water/steam</x:v>
      </x:c>
      <x:c r="D82" s="8" t="n">
        <x:v>15</x:v>
      </x:c>
      <x:c r="E82" s="8" t="n">
        <x:v>2</x:v>
      </x:c>
      <x:c r="F82" s="8" t="n">
        <x:v>0</x:v>
      </x:c>
      <x:c r="G82" s="8" t="n">
        <x:f>IF(AND(ISNUMBER(E82),ISNUMBER(F82)),E82+F82,"")</x:f>
        <x:v>2</x:v>
      </x:c>
      <x:c r="H82" s="8" t="n">
        <x:v>0</x:v>
      </x:c>
      <x:c r="I82" s="9" t="n">
        <x:v>31</x:v>
      </x:c>
      <x:c r="J82" s="7" t="str">
        <x:v>Unnumbered subtype: parent VDI number retained</x:v>
      </x:c>
    </x:row>
    <x:row r="83" ht="32" customHeight="1">
      <x:c r="A83" s="1" t="str">
        <x:v>A2</x:v>
      </x:c>
      <x:c r="B83" s="10" t="str">
        <x:v>1.3.4</x:v>
      </x:c>
      <x:c r="C83" s="7" t="str">
        <x:v>Plate heat exchanger</x:v>
      </x:c>
      <x:c r="D83" s="8" t="n">
        <x:v>20</x:v>
      </x:c>
      <x:c r="E83" s="8" t="n">
        <x:v>2</x:v>
      </x:c>
      <x:c r="F83" s="8" t="n">
        <x:v>0</x:v>
      </x:c>
      <x:c r="G83" s="8" t="n">
        <x:f>IF(AND(ISNUMBER(E83),ISNUMBER(F83)),E83+F83,"")</x:f>
        <x:v>2</x:v>
      </x:c>
      <x:c r="H83" s="8" t="n">
        <x:v>0</x:v>
      </x:c>
      <x:c r="I83" s="9" t="n">
        <x:v>31</x:v>
      </x:c>
      <x:c r="J83" s="7" t="str"/>
    </x:row>
    <x:row r="84" ht="32" customHeight="1">
      <x:c r="A84" s="1" t="str">
        <x:v>A2</x:v>
      </x:c>
      <x:c r="B84" s="10" t="str">
        <x:v>1.3.5</x:v>
      </x:c>
      <x:c r="C84" s="7" t="str">
        <x:v>House transfer station from district heating with direct connection</x:v>
      </x:c>
      <x:c r="D84" s="8" t="n">
        <x:v>30</x:v>
      </x:c>
      <x:c r="E84" s="8" t="n">
        <x:v>2</x:v>
      </x:c>
      <x:c r="F84" s="8" t="n">
        <x:v>1</x:v>
      </x:c>
      <x:c r="G84" s="8" t="n">
        <x:f>IF(AND(ISNUMBER(E84),ISNUMBER(F84)),E84+F84,"")</x:f>
        <x:v>3</x:v>
      </x:c>
      <x:c r="H84" s="8" t="n">
        <x:v>0</x:v>
      </x:c>
      <x:c r="I84" s="9" t="n">
        <x:v>31</x:v>
      </x:c>
      <x:c r="J84" s="7" t="str"/>
    </x:row>
    <x:row r="85" ht="32" customHeight="1">
      <x:c r="A85" s="1" t="str">
        <x:v>A2</x:v>
      </x:c>
      <x:c r="B85" s="10" t="str">
        <x:v>1.3.6</x:v>
      </x:c>
      <x:c r="C85" s="7" t="str">
        <x:v>House transfer station from district heating with indirect connection</x:v>
      </x:c>
      <x:c r="D85" s="8" t="n">
        <x:v>20</x:v>
      </x:c>
      <x:c r="E85" s="8" t="n">
        <x:v>2</x:v>
      </x:c>
      <x:c r="F85" s="8" t="n">
        <x:v>1</x:v>
      </x:c>
      <x:c r="G85" s="8" t="n">
        <x:f>IF(AND(ISNUMBER(E85),ISNUMBER(F85)),E85+F85,"")</x:f>
        <x:v>3</x:v>
      </x:c>
      <x:c r="H85" s="8" t="n">
        <x:v>0</x:v>
      </x:c>
      <x:c r="I85" s="9" t="n">
        <x:v>31</x:v>
      </x:c>
      <x:c r="J85" s="7" t="str"/>
    </x:row>
    <x:row r="86" ht="32" customHeight="1">
      <x:c r="A86" s="11" t="str">
        <x:v>A2</x:v>
      </x:c>
      <x:c r="B86" s="12" t="str">
        <x:v>1.3.7</x:v>
      </x:c>
      <x:c r="C86" s="13" t="str">
        <x:v>Fuel input, ash disposal, fuel storage</x:v>
      </x:c>
      <x:c r="D86" s="14"/>
      <x:c r="E86" s="14"/>
      <x:c r="F86" s="14"/>
      <x:c r="G86" s="14" t="str">
        <x:f>IF(AND(ISNUMBER(E86),ISNUMBER(F86)),E86+F86,"")</x:f>
      </x:c>
      <x:c r="H86" s="14"/>
      <x:c r="I86" s="15" t="n">
        <x:v>31</x:v>
      </x:c>
      <x:c r="J86" s="13" t="str">
        <x:v>Group or cross-reference; no separate numerical defaults</x:v>
      </x:c>
    </x:row>
    <x:row r="87" ht="32" customHeight="1">
      <x:c r="A87" s="1" t="str">
        <x:v>A2</x:v>
      </x:c>
      <x:c r="B87" s="10" t="str">
        <x:v>1.3.7</x:v>
      </x:c>
      <x:c r="C87" s="7" t="str">
        <x:v>Fuel input, ash disposal, fuel storage / Mechanical input of solid fuels</x:v>
      </x:c>
      <x:c r="D87" s="8" t="n">
        <x:v>25</x:v>
      </x:c>
      <x:c r="E87" s="8" t="n">
        <x:v>1.5</x:v>
      </x:c>
      <x:c r="F87" s="8" t="n">
        <x:v>2</x:v>
      </x:c>
      <x:c r="G87" s="8" t="n">
        <x:f>IF(AND(ISNUMBER(E87),ISNUMBER(F87)),E87+F87,"")</x:f>
        <x:v>3.5</x:v>
      </x:c>
      <x:c r="H87" s="8" t="n">
        <x:v>2</x:v>
      </x:c>
      <x:c r="I87" s="9" t="n">
        <x:v>31</x:v>
      </x:c>
      <x:c r="J87" s="7" t="str">
        <x:v>Unnumbered subtype: parent VDI number retained</x:v>
      </x:c>
    </x:row>
    <x:row r="88" ht="32" customHeight="1">
      <x:c r="A88" s="1" t="str">
        <x:v>A2</x:v>
      </x:c>
      <x:c r="B88" s="10" t="str">
        <x:v>1.3.7</x:v>
      </x:c>
      <x:c r="C88" s="7" t="str">
        <x:v>Fuel input, ash disposal, fuel storage / Pneumatic input of solid fuels</x:v>
      </x:c>
      <x:c r="D88" s="8" t="n">
        <x:v>15</x:v>
      </x:c>
      <x:c r="E88" s="8" t="n">
        <x:v>2</x:v>
      </x:c>
      <x:c r="F88" s="8" t="n">
        <x:v>2</x:v>
      </x:c>
      <x:c r="G88" s="8" t="n">
        <x:f>IF(AND(ISNUMBER(E88),ISNUMBER(F88)),E88+F88,"")</x:f>
        <x:v>4</x:v>
      </x:c>
      <x:c r="H88" s="8" t="n">
        <x:v>2</x:v>
      </x:c>
      <x:c r="I88" s="9" t="n">
        <x:v>31</x:v>
      </x:c>
      <x:c r="J88" s="7" t="str">
        <x:v>Unnumbered subtype: parent VDI number retained</x:v>
      </x:c>
    </x:row>
    <x:row r="89" ht="32" customHeight="1">
      <x:c r="A89" s="1" t="str">
        <x:v>A2</x:v>
      </x:c>
      <x:c r="B89" s="10" t="str">
        <x:v>1.3.7</x:v>
      </x:c>
      <x:c r="C89" s="7" t="str">
        <x:v>Fuel input, ash disposal, fuel storage / Transport of slag and ashes</x:v>
      </x:c>
      <x:c r="D89" s="8" t="n">
        <x:v>20</x:v>
      </x:c>
      <x:c r="E89" s="8" t="n">
        <x:v>2</x:v>
      </x:c>
      <x:c r="F89" s="8" t="n">
        <x:v>2</x:v>
      </x:c>
      <x:c r="G89" s="8" t="n">
        <x:f>IF(AND(ISNUMBER(E89),ISNUMBER(F89)),E89+F89,"")</x:f>
        <x:v>4</x:v>
      </x:c>
      <x:c r="H89" s="8" t="n">
        <x:v>2</x:v>
      </x:c>
      <x:c r="I89" s="9" t="n">
        <x:v>31</x:v>
      </x:c>
      <x:c r="J89" s="7" t="str">
        <x:v>Unnumbered subtype: parent VDI number retained</x:v>
      </x:c>
    </x:row>
    <x:row r="90" ht="60" customHeight="1">
      <x:c r="A90" s="1" t="str">
        <x:v>A2</x:v>
      </x:c>
      <x:c r="B90" s="10" t="str">
        <x:v>1.3.7</x:v>
      </x:c>
      <x:c r="C90" s="7" t="str">
        <x:v>Fuel input, ash disposal, fuel storage / Dust removal installation (without induced draught) with all necessary piping</x:v>
      </x:c>
      <x:c r="D90" s="8" t="n">
        <x:v>20</x:v>
      </x:c>
      <x:c r="E90" s="8" t="n">
        <x:v>2</x:v>
      </x:c>
      <x:c r="F90" s="8" t="n">
        <x:v>2</x:v>
      </x:c>
      <x:c r="G90" s="8" t="n">
        <x:f>IF(AND(ISNUMBER(E90),ISNUMBER(F90)),E90+F90,"")</x:f>
        <x:v>4</x:v>
      </x:c>
      <x:c r="H90" s="8" t="n">
        <x:v>2</x:v>
      </x:c>
      <x:c r="I90" s="9" t="n">
        <x:v>31</x:v>
      </x:c>
      <x:c r="J90" s="7" t="str">
        <x:v>Unnumbered subtype: parent VDI number retained</x:v>
      </x:c>
    </x:row>
    <x:row r="91" ht="32" customHeight="1">
      <x:c r="A91" s="1" t="str">
        <x:v>A2</x:v>
      </x:c>
      <x:c r="B91" s="10" t="str">
        <x:v>1.3.7</x:v>
      </x:c>
      <x:c r="C91" s="7" t="str">
        <x:v>Fuel input, ash disposal, fuel storage / Induced-draught installations</x:v>
      </x:c>
      <x:c r="D91" s="8" t="n">
        <x:v>15</x:v>
      </x:c>
      <x:c r="E91" s="8" t="n">
        <x:v>2</x:v>
      </x:c>
      <x:c r="F91" s="8" t="n">
        <x:v>2</x:v>
      </x:c>
      <x:c r="G91" s="8" t="n">
        <x:f>IF(AND(ISNUMBER(E91),ISNUMBER(F91)),E91+F91,"")</x:f>
        <x:v>4</x:v>
      </x:c>
      <x:c r="H91" s="8" t="n">
        <x:v>2</x:v>
      </x:c>
      <x:c r="I91" s="9" t="n">
        <x:v>31</x:v>
      </x:c>
      <x:c r="J91" s="7" t="str">
        <x:v>Unnumbered subtype: parent VDI number retained</x:v>
      </x:c>
    </x:row>
    <x:row r="92" ht="32" customHeight="1">
      <x:c r="A92" s="1" t="str">
        <x:v>A2</x:v>
      </x:c>
      <x:c r="B92" s="10" t="str">
        <x:v>1.3.7</x:v>
      </x:c>
      <x:c r="C92" s="7" t="str">
        <x:v>Fuel input, ash disposal, fuel storage / Steel battery tanks (DIN 6620-1)</x:v>
      </x:c>
      <x:c r="D92" s="8" t="n">
        <x:v>25</x:v>
      </x:c>
      <x:c r="E92" s="8" t="n">
        <x:v>2</x:v>
      </x:c>
      <x:c r="F92" s="8" t="n">
        <x:v>1</x:v>
      </x:c>
      <x:c r="G92" s="8" t="n">
        <x:f>IF(AND(ISNUMBER(E92),ISNUMBER(F92)),E92+F92,"")</x:f>
        <x:v>3</x:v>
      </x:c>
      <x:c r="H92" s="8" t="n">
        <x:v>0</x:v>
      </x:c>
      <x:c r="I92" s="9" t="n">
        <x:v>31</x:v>
      </x:c>
      <x:c r="J92" s="7" t="str">
        <x:v>Unnumbered subtype: parent VDI number retained</x:v>
      </x:c>
    </x:row>
    <x:row r="93" ht="60" customHeight="1">
      <x:c r="A93" s="1" t="str">
        <x:v>A2</x:v>
      </x:c>
      <x:c r="B93" s="10" t="str">
        <x:v>1.3.7</x:v>
      </x:c>
      <x:c r="C93" s="7" t="str">
        <x:v>Fuel input, ash disposal, fuel storage / Double-wall steel tanks for underground storage (DIN 6608-2)</x:v>
      </x:c>
      <x:c r="D93" s="8" t="n">
        <x:v>25</x:v>
      </x:c>
      <x:c r="E93" s="8" t="n">
        <x:v>1.5</x:v>
      </x:c>
      <x:c r="F93" s="8" t="n">
        <x:v>1</x:v>
      </x:c>
      <x:c r="G93" s="8" t="n">
        <x:f>IF(AND(ISNUMBER(E93),ISNUMBER(F93)),E93+F93,"")</x:f>
        <x:v>2.5</x:v>
      </x:c>
      <x:c r="H93" s="8" t="n">
        <x:v>0</x:v>
      </x:c>
      <x:c r="I93" s="9" t="n">
        <x:v>31</x:v>
      </x:c>
      <x:c r="J93" s="7" t="str">
        <x:v>Unnumbered subtype: parent VDI number retained</x:v>
      </x:c>
    </x:row>
    <x:row r="94" ht="32" customHeight="1">
      <x:c r="A94" s="1" t="str">
        <x:v>A2</x:v>
      </x:c>
      <x:c r="B94" s="10" t="str">
        <x:v>1.3.7</x:v>
      </x:c>
      <x:c r="C94" s="7" t="str">
        <x:v>Fuel input, ash disposal, fuel storage / Steel tanks erected on site (DIN 6625-1)</x:v>
      </x:c>
      <x:c r="D94" s="8" t="n">
        <x:v>30</x:v>
      </x:c>
      <x:c r="E94" s="8" t="n">
        <x:v>1.5</x:v>
      </x:c>
      <x:c r="F94" s="8" t="n">
        <x:v>1</x:v>
      </x:c>
      <x:c r="G94" s="8" t="n">
        <x:f>IF(AND(ISNUMBER(E94),ISNUMBER(F94)),E94+F94,"")</x:f>
        <x:v>2.5</x:v>
      </x:c>
      <x:c r="H94" s="8" t="n">
        <x:v>0</x:v>
      </x:c>
      <x:c r="I94" s="9" t="n">
        <x:v>31</x:v>
      </x:c>
      <x:c r="J94" s="7" t="str">
        <x:v>Unnumbered subtype: parent VDI number retained</x:v>
      </x:c>
    </x:row>
    <x:row r="95" ht="60" customHeight="1">
      <x:c r="A95" s="1" t="str">
        <x:v>A2</x:v>
      </x:c>
      <x:c r="B95" s="10" t="str">
        <x:v>1.3.7</x:v>
      </x:c>
      <x:c r="C95" s="7" t="str">
        <x:v>Fuel input, ash disposal, fuel storage / Steel tanks for storage fully or partially above ground (DIN 6616, DIN 6618, DIN 6619)</x:v>
      </x:c>
      <x:c r="D95" s="8" t="n">
        <x:v>25</x:v>
      </x:c>
      <x:c r="E95" s="8" t="n">
        <x:v>2</x:v>
      </x:c>
      <x:c r="F95" s="8" t="n">
        <x:v>1</x:v>
      </x:c>
      <x:c r="G95" s="8" t="n">
        <x:f>IF(AND(ISNUMBER(E95),ISNUMBER(F95)),E95+F95,"")</x:f>
        <x:v>3</x:v>
      </x:c>
      <x:c r="H95" s="8" t="n">
        <x:v>0</x:v>
      </x:c>
      <x:c r="I95" s="9" t="n">
        <x:v>31</x:v>
      </x:c>
      <x:c r="J95" s="7" t="str">
        <x:v>Unnumbered subtype: parent VDI number retained</x:v>
      </x:c>
    </x:row>
    <x:row r="96" ht="60" customHeight="1">
      <x:c r="A96" s="1" t="str">
        <x:v>A2</x:v>
      </x:c>
      <x:c r="B96" s="10" t="str">
        <x:v>1.3.7</x:v>
      </x:c>
      <x:c r="C96" s="7" t="str">
        <x:v>Fuel input, ash disposal, fuel storage / Tanks with plastic inner coating, as per RAL-RG 998, RAL-RG 977</x:v>
      </x:c>
      <x:c r="D96" s="8" t="n">
        <x:v>30</x:v>
      </x:c>
      <x:c r="E96" s="8" t="n">
        <x:v>1.5</x:v>
      </x:c>
      <x:c r="F96" s="8" t="n">
        <x:v>1</x:v>
      </x:c>
      <x:c r="G96" s="8" t="n">
        <x:f>IF(AND(ISNUMBER(E96),ISNUMBER(F96)),E96+F96,"")</x:f>
        <x:v>2.5</x:v>
      </x:c>
      <x:c r="H96" s="8" t="n">
        <x:v>0</x:v>
      </x:c>
      <x:c r="I96" s="9" t="n">
        <x:v>31</x:v>
      </x:c>
      <x:c r="J96" s="7" t="str">
        <x:v>Unnumbered subtype: parent VDI number retained</x:v>
      </x:c>
    </x:row>
    <x:row r="97" ht="60" customHeight="1">
      <x:c r="A97" s="1" t="str">
        <x:v>A2</x:v>
      </x:c>
      <x:c r="B97" s="10" t="str">
        <x:v>1.3.7</x:v>
      </x:c>
      <x:c r="C97" s="7" t="str">
        <x:v>Fuel input, ash disposal, fuel storage / Tanks with protective inner envelope or protective padding (tested and design approved)</x:v>
      </x:c>
      <x:c r="D97" s="8" t="n">
        <x:v>30</x:v>
      </x:c>
      <x:c r="E97" s="8" t="n">
        <x:v>1.5</x:v>
      </x:c>
      <x:c r="F97" s="8" t="n">
        <x:v>1</x:v>
      </x:c>
      <x:c r="G97" s="8" t="n">
        <x:f>IF(AND(ISNUMBER(E97),ISNUMBER(F97)),E97+F97,"")</x:f>
        <x:v>2.5</x:v>
      </x:c>
      <x:c r="H97" s="8" t="n">
        <x:v>0</x:v>
      </x:c>
      <x:c r="I97" s="9" t="n">
        <x:v>31</x:v>
      </x:c>
      <x:c r="J97" s="7" t="str">
        <x:v>Unnumbered subtype: parent VDI number retained</x:v>
      </x:c>
    </x:row>
    <x:row r="98" ht="60" customHeight="1">
      <x:c r="A98" s="1" t="str">
        <x:v>A2</x:v>
      </x:c>
      <x:c r="B98" s="10" t="str">
        <x:v>1.3.7</x:v>
      </x:c>
      <x:c r="C98" s="7" t="str">
        <x:v>Fuel input, ash disposal, fuel storage / Containers made from materials other than steel (tested and design approved), e. g. aluminium, plastic (PE, GFK and others) and reinforced concrete with inner coating (all not subject to corrosion)</x:v>
      </x:c>
      <x:c r="D98" s="8" t="n">
        <x:v>25</x:v>
      </x:c>
      <x:c r="E98" s="8" t="n">
        <x:v>1</x:v>
      </x:c>
      <x:c r="F98" s="8" t="n">
        <x:v>0.5</x:v>
      </x:c>
      <x:c r="G98" s="8" t="n">
        <x:f>IF(AND(ISNUMBER(E98),ISNUMBER(F98)),E98+F98,"")</x:f>
        <x:v>1.5</x:v>
      </x:c>
      <x:c r="H98" s="8" t="n">
        <x:v>0</x:v>
      </x:c>
      <x:c r="I98" s="9" t="n">
        <x:v>31</x:v>
      </x:c>
      <x:c r="J98" s="7" t="str">
        <x:v>Unnumbered subtype: parent VDI number retained</x:v>
      </x:c>
    </x:row>
    <x:row r="99" ht="32" customHeight="1">
      <x:c r="A99" s="1" t="str">
        <x:v>A2</x:v>
      </x:c>
      <x:c r="B99" s="10" t="str">
        <x:v>1.3.7</x:v>
      </x:c>
      <x:c r="C99" s="7" t="str">
        <x:v>Fuel input, ash disposal, fuel storage / Tank accessories with piping</x:v>
      </x:c>
      <x:c r="D99" s="8" t="n">
        <x:v>20</x:v>
      </x:c>
      <x:c r="E99" s="8" t="n">
        <x:v>3</x:v>
      </x:c>
      <x:c r="F99" s="8" t="n">
        <x:v>1</x:v>
      </x:c>
      <x:c r="G99" s="8" t="n">
        <x:f>IF(AND(ISNUMBER(E99),ISNUMBER(F99)),E99+F99,"")</x:f>
        <x:v>4</x:v>
      </x:c>
      <x:c r="H99" s="8" t="n">
        <x:v>0</x:v>
      </x:c>
      <x:c r="I99" s="9" t="n">
        <x:v>31</x:v>
      </x:c>
      <x:c r="J99" s="7" t="str">
        <x:v>Unnumbered subtype: parent VDI number retained</x:v>
      </x:c>
    </x:row>
    <x:row r="100" ht="32" customHeight="1">
      <x:c r="A100" s="1" t="str">
        <x:v>A2</x:v>
      </x:c>
      <x:c r="B100" s="10" t="str">
        <x:v>1.3.7</x:v>
      </x:c>
      <x:c r="C100" s="7" t="str">
        <x:v>Fuel input, ash disposal, fuel storage / Leak detection and warning device</x:v>
      </x:c>
      <x:c r="D100" s="8" t="n">
        <x:v>10</x:v>
      </x:c>
      <x:c r="E100" s="8" t="n">
        <x:v>3</x:v>
      </x:c>
      <x:c r="F100" s="8" t="n">
        <x:v>1</x:v>
      </x:c>
      <x:c r="G100" s="8" t="n">
        <x:f>IF(AND(ISNUMBER(E100),ISNUMBER(F100)),E100+F100,"")</x:f>
        <x:v>4</x:v>
      </x:c>
      <x:c r="H100" s="8" t="n">
        <x:v>0</x:v>
      </x:c>
      <x:c r="I100" s="9" t="n">
        <x:v>31</x:v>
      </x:c>
      <x:c r="J100" s="7" t="str">
        <x:v>Unnumbered subtype: parent VDI number retained</x:v>
      </x:c>
    </x:row>
    <x:row r="101" ht="32" customHeight="1">
      <x:c r="A101" s="1" t="str">
        <x:v>A2</x:v>
      </x:c>
      <x:c r="B101" s="10" t="str">
        <x:v>1.3.7</x:v>
      </x:c>
      <x:c r="C101" s="7" t="str">
        <x:v>Fuel input, ash disposal, fuel storage / Liquid gas tanks</x:v>
      </x:c>
      <x:c r="D101" s="8" t="n">
        <x:v>18</x:v>
      </x:c>
      <x:c r="E101" s="8" t="n">
        <x:v>1.5</x:v>
      </x:c>
      <x:c r="F101" s="8" t="n">
        <x:v>1</x:v>
      </x:c>
      <x:c r="G101" s="8" t="n">
        <x:f>IF(AND(ISNUMBER(E101),ISNUMBER(F101)),E101+F101,"")</x:f>
        <x:v>2.5</x:v>
      </x:c>
      <x:c r="H101" s="8" t="n">
        <x:v>0</x:v>
      </x:c>
      <x:c r="I101" s="9" t="n">
        <x:v>31</x:v>
      </x:c>
      <x:c r="J101" s="7" t="str">
        <x:v>Unnumbered subtype: parent VDI number retained</x:v>
      </x:c>
    </x:row>
    <x:row r="102" ht="32" customHeight="1">
      <x:c r="A102" s="1" t="str">
        <x:v>A2</x:v>
      </x:c>
      <x:c r="B102" s="10" t="str">
        <x:v>1.3.7</x:v>
      </x:c>
      <x:c r="C102" s="7" t="str">
        <x:v>Fuel input, ash disposal, fuel storage / Pellet and woodchip storage area, with conveyor unit</x:v>
      </x:c>
      <x:c r="D102" s="8" t="n">
        <x:v>20</x:v>
      </x:c>
      <x:c r="E102" s="8" t="n">
        <x:v>3</x:v>
      </x:c>
      <x:c r="F102" s="8" t="n">
        <x:v>2</x:v>
      </x:c>
      <x:c r="G102" s="8" t="n">
        <x:f>IF(AND(ISNUMBER(E102),ISNUMBER(F102)),E102+F102,"")</x:f>
        <x:v>5</x:v>
      </x:c>
      <x:c r="H102" s="8" t="n">
        <x:v>10</x:v>
      </x:c>
      <x:c r="I102" s="9" t="n">
        <x:v>31</x:v>
      </x:c>
      <x:c r="J102" s="7" t="str">
        <x:v>Unnumbered subtype: parent VDI number retained</x:v>
      </x:c>
    </x:row>
    <x:row r="103" ht="32" customHeight="1">
      <x:c r="A103" s="11" t="str">
        <x:v>A2</x:v>
      </x:c>
      <x:c r="B103" s="12" t="str">
        <x:v>1.3.8</x:v>
      </x:c>
      <x:c r="C103" s="13" t="str">
        <x:v>Structural installations</x:v>
      </x:c>
      <x:c r="D103" s="14"/>
      <x:c r="E103" s="14"/>
      <x:c r="F103" s="14"/>
      <x:c r="G103" s="14" t="str">
        <x:f>IF(AND(ISNUMBER(E103),ISNUMBER(F103)),E103+F103,"")</x:f>
      </x:c>
      <x:c r="H103" s="14"/>
      <x:c r="I103" s="15" t="n">
        <x:v>31</x:v>
      </x:c>
      <x:c r="J103" s="13" t="str">
        <x:v>Group or cross-reference; no separate numerical defaults</x:v>
      </x:c>
    </x:row>
    <x:row r="104" ht="32" customHeight="1">
      <x:c r="A104" s="1" t="str">
        <x:v>A2</x:v>
      </x:c>
      <x:c r="B104" s="10" t="str">
        <x:v>1.3.8</x:v>
      </x:c>
      <x:c r="C104" s="7" t="str">
        <x:v>Structural installations / Buildings in general</x:v>
      </x:c>
      <x:c r="D104" s="8" t="n">
        <x:v>50</x:v>
      </x:c>
      <x:c r="E104" s="8" t="n">
        <x:v>1</x:v>
      </x:c>
      <x:c r="F104" s="8" t="n">
        <x:v>1</x:v>
      </x:c>
      <x:c r="G104" s="8" t="n">
        <x:f>IF(AND(ISNUMBER(E104),ISNUMBER(F104)),E104+F104,"")</x:f>
        <x:v>2</x:v>
      </x:c>
      <x:c r="H104" s="8" t="n">
        <x:v>0</x:v>
      </x:c>
      <x:c r="I104" s="9" t="n">
        <x:v>31</x:v>
      </x:c>
      <x:c r="J104" s="7" t="str">
        <x:v>Unnumbered subtype: parent VDI number retained</x:v>
      </x:c>
    </x:row>
    <x:row r="105" ht="32" customHeight="1">
      <x:c r="A105" s="1" t="str">
        <x:v>A2</x:v>
      </x:c>
      <x:c r="B105" s="10" t="str">
        <x:v>1.3.8</x:v>
      </x:c>
      <x:c r="C105" s="7" t="str">
        <x:v>Structural installations / Smokestack in building</x:v>
      </x:c>
      <x:c r="D105" s="8" t="n">
        <x:v>50</x:v>
      </x:c>
      <x:c r="E105" s="8" t="n">
        <x:v>1</x:v>
      </x:c>
      <x:c r="F105" s="8" t="n">
        <x:v>2</x:v>
      </x:c>
      <x:c r="G105" s="8" t="n">
        <x:f>IF(AND(ISNUMBER(E105),ISNUMBER(F105)),E105+F105,"")</x:f>
        <x:v>3</x:v>
      </x:c>
      <x:c r="H105" s="8" t="n">
        <x:v>0</x:v>
      </x:c>
      <x:c r="I105" s="9" t="n">
        <x:v>31</x:v>
      </x:c>
      <x:c r="J105" s="7" t="str">
        <x:v>Unnumbered subtype: parent VDI number retained</x:v>
      </x:c>
    </x:row>
    <x:row r="106" ht="32" customHeight="1">
      <x:c r="A106" s="1" t="str">
        <x:v>A2</x:v>
      </x:c>
      <x:c r="B106" s="10" t="str">
        <x:v>1.3.8</x:v>
      </x:c>
      <x:c r="C106" s="7" t="str">
        <x:v>Structural installations / Free standing smokestack, brick-built or concrete</x:v>
      </x:c>
      <x:c r="D106" s="8" t="n">
        <x:v>40</x:v>
      </x:c>
      <x:c r="E106" s="8" t="n">
        <x:v>1</x:v>
      </x:c>
      <x:c r="F106" s="8" t="n">
        <x:v>2</x:v>
      </x:c>
      <x:c r="G106" s="8" t="n">
        <x:f>IF(AND(ISNUMBER(E106),ISNUMBER(F106)),E106+F106,"")</x:f>
        <x:v>3</x:v>
      </x:c>
      <x:c r="H106" s="8" t="n">
        <x:v>0</x:v>
      </x:c>
      <x:c r="I106" s="9" t="n">
        <x:v>31</x:v>
      </x:c>
      <x:c r="J106" s="7" t="str">
        <x:v>Unnumbered subtype: parent VDI number retained</x:v>
      </x:c>
    </x:row>
    <x:row r="107" ht="32" customHeight="1">
      <x:c r="A107" s="1" t="str">
        <x:v>A2</x:v>
      </x:c>
      <x:c r="B107" s="10" t="str">
        <x:v>1.3.8</x:v>
      </x:c>
      <x:c r="C107" s="7" t="str">
        <x:v>Structural installations / Platforms and stairways in boiler house</x:v>
      </x:c>
      <x:c r="D107" s="8" t="n">
        <x:v>40</x:v>
      </x:c>
      <x:c r="E107" s="8" t="n">
        <x:v>1</x:v>
      </x:c>
      <x:c r="F107" s="8" t="n">
        <x:v>1</x:v>
      </x:c>
      <x:c r="G107" s="8" t="n">
        <x:f>IF(AND(ISNUMBER(E107),ISNUMBER(F107)),E107+F107,"")</x:f>
        <x:v>2</x:v>
      </x:c>
      <x:c r="H107" s="8" t="n">
        <x:v>0</x:v>
      </x:c>
      <x:c r="I107" s="9" t="n">
        <x:v>31</x:v>
      </x:c>
      <x:c r="J107" s="7" t="str">
        <x:v>Unnumbered subtype: parent VDI number retained</x:v>
      </x:c>
    </x:row>
    <x:row r="108" ht="32" customHeight="1">
      <x:c r="A108" s="11" t="str">
        <x:v>A3</x:v>
      </x:c>
      <x:c r="B108" s="12" t="str">
        <x:v>2</x:v>
      </x:c>
      <x:c r="C108" s="13" t="str">
        <x:v>Ventilation and air conditioning technology</x:v>
      </x:c>
      <x:c r="D108" s="14"/>
      <x:c r="E108" s="14"/>
      <x:c r="F108" s="14"/>
      <x:c r="G108" s="14" t="str">
        <x:f>IF(AND(ISNUMBER(E108),ISNUMBER(F108)),E108+F108,"")</x:f>
      </x:c>
      <x:c r="H108" s="14"/>
      <x:c r="I108" s="15" t="n">
        <x:v>32</x:v>
      </x:c>
      <x:c r="J108" s="13" t="str">
        <x:v>Group or cross-reference; no separate numerical defaults</x:v>
      </x:c>
    </x:row>
    <x:row r="109" ht="32" customHeight="1">
      <x:c r="A109" s="11" t="str">
        <x:v>A3</x:v>
      </x:c>
      <x:c r="B109" s="12" t="str">
        <x:v>2.1</x:v>
      </x:c>
      <x:c r="C109" s="13" t="str">
        <x:v>Utility transfer</x:v>
      </x:c>
      <x:c r="D109" s="14"/>
      <x:c r="E109" s="14"/>
      <x:c r="F109" s="14"/>
      <x:c r="G109" s="14" t="str">
        <x:f>IF(AND(ISNUMBER(E109),ISNUMBER(F109)),E109+F109,"")</x:f>
      </x:c>
      <x:c r="H109" s="14"/>
      <x:c r="I109" s="15" t="n">
        <x:v>32</x:v>
      </x:c>
      <x:c r="J109" s="13" t="str">
        <x:v>Group or cross-reference; no separate numerical defaults</x:v>
      </x:c>
    </x:row>
    <x:row r="110" ht="32" customHeight="1">
      <x:c r="A110" s="1" t="str">
        <x:v>A3</x:v>
      </x:c>
      <x:c r="B110" s="10" t="str">
        <x:v>2.1.1</x:v>
      </x:c>
      <x:c r="C110" s="7" t="str">
        <x:v>Air passage</x:v>
      </x:c>
      <x:c r="D110" s="8" t="n">
        <x:v>20</x:v>
      </x:c>
      <x:c r="E110" s="8" t="n">
        <x:v>0</x:v>
      </x:c>
      <x:c r="F110" s="8" t="n">
        <x:v>1</x:v>
      </x:c>
      <x:c r="G110" s="8" t="n">
        <x:f>IF(AND(ISNUMBER(E110),ISNUMBER(F110)),E110+F110,"")</x:f>
        <x:v>1</x:v>
      </x:c>
      <x:c r="H110" s="8" t="n">
        <x:v>0</x:v>
      </x:c>
      <x:c r="I110" s="9" t="n">
        <x:v>32</x:v>
      </x:c>
      <x:c r="J110" s="7" t="str"/>
    </x:row>
    <x:row r="111" ht="32" customHeight="1">
      <x:c r="A111" s="11" t="str">
        <x:v>A3</x:v>
      </x:c>
      <x:c r="B111" s="12" t="str">
        <x:v>2.1.2</x:v>
      </x:c>
      <x:c r="C111" s="13" t="str">
        <x:v>Heat</x:v>
      </x:c>
      <x:c r="D111" s="14"/>
      <x:c r="E111" s="14"/>
      <x:c r="F111" s="14"/>
      <x:c r="G111" s="14" t="str">
        <x:f>IF(AND(ISNUMBER(E111),ISNUMBER(F111)),E111+F111,"")</x:f>
      </x:c>
      <x:c r="H111" s="14"/>
      <x:c r="I111" s="15" t="n">
        <x:v>32</x:v>
      </x:c>
      <x:c r="J111" s="13" t="str">
        <x:v>Group or cross-reference; no separate numerical defaults</x:v>
      </x:c>
    </x:row>
    <x:row r="112" ht="32" customHeight="1">
      <x:c r="A112" s="11" t="str">
        <x:v>A3</x:v>
      </x:c>
      <x:c r="B112" s="12" t="str">
        <x:v>2.1.2.1</x:v>
      </x:c>
      <x:c r="C112" s="13" t="str">
        <x:v>Air heaters</x:v>
      </x:c>
      <x:c r="D112" s="14"/>
      <x:c r="E112" s="14"/>
      <x:c r="F112" s="14"/>
      <x:c r="G112" s="14" t="str">
        <x:f>IF(AND(ISNUMBER(E112),ISNUMBER(F112)),E112+F112,"")</x:f>
      </x:c>
      <x:c r="H112" s="14"/>
      <x:c r="I112" s="15" t="n">
        <x:v>32</x:v>
      </x:c>
      <x:c r="J112" s="13" t="str">
        <x:v>Group or cross-reference; no separate numerical defaults</x:v>
      </x:c>
    </x:row>
    <x:row r="113" ht="32" customHeight="1">
      <x:c r="A113" s="11" t="str">
        <x:v>A3</x:v>
      </x:c>
      <x:c r="B113" s="12" t="str">
        <x:v>2.1.2.1.1</x:v>
      </x:c>
      <x:c r="C113" s="13" t="str">
        <x:v>Direct</x:v>
      </x:c>
      <x:c r="D113" s="14"/>
      <x:c r="E113" s="14"/>
      <x:c r="F113" s="14"/>
      <x:c r="G113" s="14" t="str">
        <x:f>IF(AND(ISNUMBER(E113),ISNUMBER(F113)),E113+F113,"")</x:f>
      </x:c>
      <x:c r="H113" s="14"/>
      <x:c r="I113" s="15" t="n">
        <x:v>32</x:v>
      </x:c>
      <x:c r="J113" s="13" t="str">
        <x:v>Group or cross-reference; no separate numerical defaults</x:v>
      </x:c>
    </x:row>
    <x:row r="114" ht="32" customHeight="1">
      <x:c r="A114" s="1" t="str">
        <x:v>A3</x:v>
      </x:c>
      <x:c r="B114" s="10" t="str">
        <x:v>2.1.2.1.1</x:v>
      </x:c>
      <x:c r="C114" s="7" t="str">
        <x:v>Direct / Gas/oil</x:v>
      </x:c>
      <x:c r="D114" s="8" t="n">
        <x:v>20</x:v>
      </x:c>
      <x:c r="E114" s="8" t="n">
        <x:v>1</x:v>
      </x:c>
      <x:c r="F114" s="8" t="n">
        <x:v>1.5</x:v>
      </x:c>
      <x:c r="G114" s="8" t="n">
        <x:f>IF(AND(ISNUMBER(E114),ISNUMBER(F114)),E114+F114,"")</x:f>
        <x:v>2.5</x:v>
      </x:c>
      <x:c r="H114" s="8" t="n">
        <x:v>0</x:v>
      </x:c>
      <x:c r="I114" s="9" t="n">
        <x:v>32</x:v>
      </x:c>
      <x:c r="J114" s="7" t="str">
        <x:v>Unnumbered subtype: parent VDI number retained</x:v>
      </x:c>
    </x:row>
    <x:row r="115" ht="32" customHeight="1">
      <x:c r="A115" s="1" t="str">
        <x:v>A3</x:v>
      </x:c>
      <x:c r="B115" s="10" t="str">
        <x:v>2.1.2.1.1</x:v>
      </x:c>
      <x:c r="C115" s="7" t="str">
        <x:v>Direct / Electrical</x:v>
      </x:c>
      <x:c r="D115" s="8" t="n">
        <x:v>15</x:v>
      </x:c>
      <x:c r="E115" s="8" t="n">
        <x:v>1</x:v>
      </x:c>
      <x:c r="F115" s="8" t="n">
        <x:v>1</x:v>
      </x:c>
      <x:c r="G115" s="8" t="n">
        <x:f>IF(AND(ISNUMBER(E115),ISNUMBER(F115)),E115+F115,"")</x:f>
        <x:v>2</x:v>
      </x:c>
      <x:c r="H115" s="8" t="n">
        <x:v>0</x:v>
      </x:c>
      <x:c r="I115" s="9" t="n">
        <x:v>32</x:v>
      </x:c>
      <x:c r="J115" s="7" t="str">
        <x:v>Unnumbered subtype: parent VDI number retained</x:v>
      </x:c>
    </x:row>
    <x:row r="116" ht="32" customHeight="1">
      <x:c r="A116" s="11" t="str">
        <x:v>A3</x:v>
      </x:c>
      <x:c r="B116" s="12" t="str">
        <x:v>2.1.2.1.3</x:v>
      </x:c>
      <x:c r="C116" s="13" t="str">
        <x:v>Indirect</x:v>
      </x:c>
      <x:c r="D116" s="14"/>
      <x:c r="E116" s="14"/>
      <x:c r="F116" s="14"/>
      <x:c r="G116" s="14" t="str">
        <x:f>IF(AND(ISNUMBER(E116),ISNUMBER(F116)),E116+F116,"")</x:f>
      </x:c>
      <x:c r="H116" s="14"/>
      <x:c r="I116" s="15" t="n">
        <x:v>32</x:v>
      </x:c>
      <x:c r="J116" s="13" t="str">
        <x:v>Group or cross-reference; no separate numerical defaults</x:v>
      </x:c>
    </x:row>
    <x:row r="117" ht="32" customHeight="1">
      <x:c r="A117" s="1" t="str">
        <x:v>A3</x:v>
      </x:c>
      <x:c r="B117" s="10" t="str">
        <x:v>2.1.2.1.3</x:v>
      </x:c>
      <x:c r="C117" s="7" t="str">
        <x:v>Indirect / Water</x:v>
      </x:c>
      <x:c r="D117" s="8" t="n">
        <x:v>20</x:v>
      </x:c>
      <x:c r="E117" s="8" t="n">
        <x:v>1</x:v>
      </x:c>
      <x:c r="F117" s="8" t="n">
        <x:v>1</x:v>
      </x:c>
      <x:c r="G117" s="8" t="n">
        <x:f>IF(AND(ISNUMBER(E117),ISNUMBER(F117)),E117+F117,"")</x:f>
        <x:v>2</x:v>
      </x:c>
      <x:c r="H117" s="8" t="n">
        <x:v>0</x:v>
      </x:c>
      <x:c r="I117" s="9" t="n">
        <x:v>32</x:v>
      </x:c>
      <x:c r="J117" s="7" t="str">
        <x:v>Unnumbered subtype: parent VDI number retained</x:v>
      </x:c>
    </x:row>
    <x:row r="118" ht="32" customHeight="1">
      <x:c r="A118" s="1" t="str">
        <x:v>A3</x:v>
      </x:c>
      <x:c r="B118" s="10" t="str">
        <x:v>2.1.2.1.3</x:v>
      </x:c>
      <x:c r="C118" s="7" t="str">
        <x:v>Indirect / Steam</x:v>
      </x:c>
      <x:c r="D118" s="8" t="n">
        <x:v>20</x:v>
      </x:c>
      <x:c r="E118" s="8" t="n">
        <x:v>1</x:v>
      </x:c>
      <x:c r="F118" s="8" t="n">
        <x:v>1</x:v>
      </x:c>
      <x:c r="G118" s="8" t="n">
        <x:f>IF(AND(ISNUMBER(E118),ISNUMBER(F118)),E118+F118,"")</x:f>
        <x:v>2</x:v>
      </x:c>
      <x:c r="H118" s="8" t="n">
        <x:v>0</x:v>
      </x:c>
      <x:c r="I118" s="9" t="n">
        <x:v>32</x:v>
      </x:c>
      <x:c r="J118" s="7" t="str">
        <x:v>Unnumbered subtype: parent VDI number retained</x:v>
      </x:c>
    </x:row>
    <x:row r="119" ht="32" customHeight="1">
      <x:c r="A119" s="11" t="str">
        <x:v>A3</x:v>
      </x:c>
      <x:c r="B119" s="12" t="str">
        <x:v>2.1.2.2</x:v>
      </x:c>
      <x:c r="C119" s="13" t="str">
        <x:v>Heat recovery systems</x:v>
      </x:c>
      <x:c r="D119" s="14"/>
      <x:c r="E119" s="14"/>
      <x:c r="F119" s="14"/>
      <x:c r="G119" s="14" t="str">
        <x:f>IF(AND(ISNUMBER(E119),ISNUMBER(F119)),E119+F119,"")</x:f>
      </x:c>
      <x:c r="H119" s="14"/>
      <x:c r="I119" s="15" t="n">
        <x:v>32</x:v>
      </x:c>
      <x:c r="J119" s="13" t="str">
        <x:v>Group or cross-reference; no separate numerical defaults</x:v>
      </x:c>
    </x:row>
    <x:row r="120" ht="32" customHeight="1">
      <x:c r="A120" s="1" t="str">
        <x:v>A3</x:v>
      </x:c>
      <x:c r="B120" s="10" t="str">
        <x:v>2.1.2.2</x:v>
      </x:c>
      <x:c r="C120" s="7" t="str">
        <x:v>Heat recovery systems / Plate heat exchangers</x:v>
      </x:c>
      <x:c r="D120" s="8" t="n">
        <x:v>20</x:v>
      </x:c>
      <x:c r="E120" s="8" t="n">
        <x:v>2</x:v>
      </x:c>
      <x:c r="F120" s="8" t="n">
        <x:v>10</x:v>
      </x:c>
      <x:c r="G120" s="8" t="n">
        <x:f>IF(AND(ISNUMBER(E120),ISNUMBER(F120)),E120+F120,"")</x:f>
        <x:v>12</x:v>
      </x:c>
      <x:c r="H120" s="8" t="n">
        <x:v>0</x:v>
      </x:c>
      <x:c r="I120" s="9" t="n">
        <x:v>32</x:v>
      </x:c>
      <x:c r="J120" s="7" t="str">
        <x:v>Unnumbered subtype: parent VDI number retained</x:v>
      </x:c>
    </x:row>
    <x:row r="121" ht="32" customHeight="1">
      <x:c r="A121" s="1" t="str">
        <x:v>A3</x:v>
      </x:c>
      <x:c r="B121" s="10" t="str">
        <x:v>2.1.2.2</x:v>
      </x:c>
      <x:c r="C121" s="7" t="str">
        <x:v>Heat recovery systems / Circulation heat exchangers</x:v>
      </x:c>
      <x:c r="D121" s="8" t="n">
        <x:v>15</x:v>
      </x:c>
      <x:c r="E121" s="8" t="n">
        <x:v>2</x:v>
      </x:c>
      <x:c r="F121" s="8" t="n">
        <x:v>15</x:v>
      </x:c>
      <x:c r="G121" s="8" t="n">
        <x:f>IF(AND(ISNUMBER(E121),ISNUMBER(F121)),E121+F121,"")</x:f>
        <x:v>17</x:v>
      </x:c>
      <x:c r="H121" s="8" t="n">
        <x:v>0</x:v>
      </x:c>
      <x:c r="I121" s="9" t="n">
        <x:v>32</x:v>
      </x:c>
      <x:c r="J121" s="7" t="str">
        <x:v>Unnumbered subtype: parent VDI number retained</x:v>
      </x:c>
    </x:row>
    <x:row r="122" ht="32" customHeight="1">
      <x:c r="A122" s="1" t="str">
        <x:v>A3</x:v>
      </x:c>
      <x:c r="B122" s="10" t="str">
        <x:v>2.1.2.2</x:v>
      </x:c>
      <x:c r="C122" s="7" t="str">
        <x:v>Heat recovery systems / Rotation heat exchangers</x:v>
      </x:c>
      <x:c r="D122" s="8" t="n">
        <x:v>15</x:v>
      </x:c>
      <x:c r="E122" s="8" t="n">
        <x:v>3</x:v>
      </x:c>
      <x:c r="F122" s="8" t="n">
        <x:v>10</x:v>
      </x:c>
      <x:c r="G122" s="8" t="n">
        <x:f>IF(AND(ISNUMBER(E122),ISNUMBER(F122)),E122+F122,"")</x:f>
        <x:v>13</x:v>
      </x:c>
      <x:c r="H122" s="8" t="n">
        <x:v>0</x:v>
      </x:c>
      <x:c r="I122" s="9" t="n">
        <x:v>32</x:v>
      </x:c>
      <x:c r="J122" s="7" t="str">
        <x:v>Unnumbered subtype: parent VDI number retained</x:v>
      </x:c>
    </x:row>
    <x:row r="123" ht="32" customHeight="1">
      <x:c r="A123" s="11" t="str">
        <x:v>A3</x:v>
      </x:c>
      <x:c r="B123" s="12" t="str">
        <x:v>2.1.3</x:v>
      </x:c>
      <x:c r="C123" s="13" t="str">
        <x:v>Cooling</x:v>
      </x:c>
      <x:c r="D123" s="14"/>
      <x:c r="E123" s="14"/>
      <x:c r="F123" s="14"/>
      <x:c r="G123" s="14" t="str">
        <x:f>IF(AND(ISNUMBER(E123),ISNUMBER(F123)),E123+F123,"")</x:f>
      </x:c>
      <x:c r="H123" s="14"/>
      <x:c r="I123" s="15" t="n">
        <x:v>32</x:v>
      </x:c>
      <x:c r="J123" s="13" t="str">
        <x:v>Group or cross-reference; no separate numerical defaults</x:v>
      </x:c>
    </x:row>
    <x:row r="124" ht="32" customHeight="1">
      <x:c r="A124" s="11" t="str">
        <x:v>A3</x:v>
      </x:c>
      <x:c r="B124" s="12" t="str">
        <x:v>2.1.3.1</x:v>
      </x:c>
      <x:c r="C124" s="13" t="str">
        <x:v>Air cooler</x:v>
      </x:c>
      <x:c r="D124" s="14"/>
      <x:c r="E124" s="14"/>
      <x:c r="F124" s="14"/>
      <x:c r="G124" s="14" t="str">
        <x:f>IF(AND(ISNUMBER(E124),ISNUMBER(F124)),E124+F124,"")</x:f>
      </x:c>
      <x:c r="H124" s="14"/>
      <x:c r="I124" s="15" t="n">
        <x:v>32</x:v>
      </x:c>
      <x:c r="J124" s="13" t="str">
        <x:v>Group or cross-reference; no separate numerical defaults</x:v>
      </x:c>
    </x:row>
    <x:row r="125" ht="32" customHeight="1">
      <x:c r="A125" s="1" t="str">
        <x:v>A3</x:v>
      </x:c>
      <x:c r="B125" s="10" t="str">
        <x:v>2.1.3.1</x:v>
      </x:c>
      <x:c r="C125" s="7" t="str">
        <x:v>Air cooler / Water</x:v>
      </x:c>
      <x:c r="D125" s="8" t="n">
        <x:v>20</x:v>
      </x:c>
      <x:c r="E125" s="8" t="n">
        <x:v>2</x:v>
      </x:c>
      <x:c r="F125" s="8" t="n">
        <x:v>4</x:v>
      </x:c>
      <x:c r="G125" s="8" t="n">
        <x:f>IF(AND(ISNUMBER(E125),ISNUMBER(F125)),E125+F125,"")</x:f>
        <x:v>6</x:v>
      </x:c>
      <x:c r="H125" s="8" t="n">
        <x:v>0</x:v>
      </x:c>
      <x:c r="I125" s="9" t="n">
        <x:v>32</x:v>
      </x:c>
      <x:c r="J125" s="7" t="str">
        <x:v>Unnumbered subtype: parent VDI number retained</x:v>
      </x:c>
    </x:row>
    <x:row r="126" ht="32" customHeight="1">
      <x:c r="A126" s="1" t="str">
        <x:v>A3</x:v>
      </x:c>
      <x:c r="B126" s="10" t="str">
        <x:v>2.1.3.1</x:v>
      </x:c>
      <x:c r="C126" s="7" t="str">
        <x:v>Air cooler / Brine</x:v>
      </x:c>
      <x:c r="D126" s="8" t="n">
        <x:v>20</x:v>
      </x:c>
      <x:c r="E126" s="8" t="n">
        <x:v>2</x:v>
      </x:c>
      <x:c r="F126" s="8" t="n">
        <x:v>4</x:v>
      </x:c>
      <x:c r="G126" s="8" t="n">
        <x:f>IF(AND(ISNUMBER(E126),ISNUMBER(F126)),E126+F126,"")</x:f>
        <x:v>6</x:v>
      </x:c>
      <x:c r="H126" s="8" t="n">
        <x:v>0</x:v>
      </x:c>
      <x:c r="I126" s="9" t="n">
        <x:v>32</x:v>
      </x:c>
      <x:c r="J126" s="7" t="str">
        <x:v>Unnumbered subtype: parent VDI number retained</x:v>
      </x:c>
    </x:row>
    <x:row r="127" ht="32" customHeight="1">
      <x:c r="A127" s="11" t="str">
        <x:v>A3</x:v>
      </x:c>
      <x:c r="B127" s="12" t="str">
        <x:v>2.1.3.2</x:v>
      </x:c>
      <x:c r="C127" s="13" t="str">
        <x:v>Heat recovery systems (see 2.1.2.2)</x:v>
      </x:c>
      <x:c r="D127" s="14"/>
      <x:c r="E127" s="14"/>
      <x:c r="F127" s="14"/>
      <x:c r="G127" s="14" t="str">
        <x:f>IF(AND(ISNUMBER(E127),ISNUMBER(F127)),E127+F127,"")</x:f>
      </x:c>
      <x:c r="H127" s="14"/>
      <x:c r="I127" s="15" t="n">
        <x:v>32</x:v>
      </x:c>
      <x:c r="J127" s="13" t="str">
        <x:v>Group or cross-reference; no separate numerical defaults</x:v>
      </x:c>
    </x:row>
    <x:row r="128" ht="32" customHeight="1">
      <x:c r="A128" s="11" t="str">
        <x:v>A3</x:v>
      </x:c>
      <x:c r="B128" s="12" t="str">
        <x:v>2.1.3.3</x:v>
      </x:c>
      <x:c r="C128" s="13" t="str">
        <x:v>Chilled ceiling</x:v>
      </x:c>
      <x:c r="D128" s="14"/>
      <x:c r="E128" s="14"/>
      <x:c r="F128" s="14"/>
      <x:c r="G128" s="14" t="str">
        <x:f>IF(AND(ISNUMBER(E128),ISNUMBER(F128)),E128+F128,"")</x:f>
      </x:c>
      <x:c r="H128" s="14"/>
      <x:c r="I128" s="15" t="n">
        <x:v>32</x:v>
      </x:c>
      <x:c r="J128" s="13" t="str">
        <x:v>Group or cross-reference; no separate numerical defaults</x:v>
      </x:c>
    </x:row>
    <x:row r="129" ht="60" customHeight="1">
      <x:c r="A129" s="1" t="str">
        <x:v>A3</x:v>
      </x:c>
      <x:c r="B129" s="10" t="str">
        <x:v>2.1.3.3</x:v>
      </x:c>
      <x:c r="C129" s="7" t="str">
        <x:v>Chilled ceiling / Coffered or linear-panelled ceiling with water pipes (attached by clamps/magnets/adhesive, or inserted loose)</x:v>
      </x:c>
      <x:c r="D129" s="8" t="n">
        <x:v>20</x:v>
      </x:c>
      <x:c r="E129" s="8" t="n">
        <x:v>1</x:v>
      </x:c>
      <x:c r="F129" s="8" t="n">
        <x:v>1</x:v>
      </x:c>
      <x:c r="G129" s="8" t="n">
        <x:f>IF(AND(ISNUMBER(E129),ISNUMBER(F129)),E129+F129,"")</x:f>
        <x:v>2</x:v>
      </x:c>
      <x:c r="H129" s="8" t="n">
        <x:v>0</x:v>
      </x:c>
      <x:c r="I129" s="9" t="n">
        <x:v>32</x:v>
      </x:c>
      <x:c r="J129" s="7" t="str">
        <x:v>Unnumbered subtype: parent VDI number retained</x:v>
      </x:c>
    </x:row>
    <x:row r="130" ht="32" customHeight="1">
      <x:c r="A130" s="1" t="str">
        <x:v>A3</x:v>
      </x:c>
      <x:c r="B130" s="10" t="str">
        <x:v>2.1.3.3</x:v>
      </x:c>
      <x:c r="C130" s="7" t="str">
        <x:v>Chilled ceiling / Chilled-ceiling canopies</x:v>
      </x:c>
      <x:c r="D130" s="8" t="n">
        <x:v>20</x:v>
      </x:c>
      <x:c r="E130" s="8" t="n">
        <x:v>1</x:v>
      </x:c>
      <x:c r="F130" s="8" t="n">
        <x:v>1</x:v>
      </x:c>
      <x:c r="G130" s="8" t="n">
        <x:f>IF(AND(ISNUMBER(E130),ISNUMBER(F130)),E130+F130,"")</x:f>
        <x:v>2</x:v>
      </x:c>
      <x:c r="H130" s="8" t="n">
        <x:v>0</x:v>
      </x:c>
      <x:c r="I130" s="9" t="n">
        <x:v>32</x:v>
      </x:c>
      <x:c r="J130" s="7" t="str">
        <x:v>Unnumbered subtype: parent VDI number retained</x:v>
      </x:c>
    </x:row>
    <x:row r="131" ht="32" customHeight="1">
      <x:c r="A131" s="11" t="str">
        <x:v>A3</x:v>
      </x:c>
      <x:c r="B131" s="12" t="str">
        <x:v>2.1.4</x:v>
      </x:c>
      <x:c r="C131" s="13" t="str">
        <x:v>Humidity</x:v>
      </x:c>
      <x:c r="D131" s="14"/>
      <x:c r="E131" s="14"/>
      <x:c r="F131" s="14"/>
      <x:c r="G131" s="14" t="str">
        <x:f>IF(AND(ISNUMBER(E131),ISNUMBER(F131)),E131+F131,"")</x:f>
      </x:c>
      <x:c r="H131" s="14"/>
      <x:c r="I131" s="15" t="n">
        <x:v>32</x:v>
      </x:c>
      <x:c r="J131" s="13" t="str">
        <x:v>Group or cross-reference; no separate numerical defaults</x:v>
      </x:c>
    </x:row>
    <x:row r="132" ht="32" customHeight="1">
      <x:c r="A132" s="11" t="str">
        <x:v>A3</x:v>
      </x:c>
      <x:c r="B132" s="12" t="str">
        <x:v>2.1.4.1</x:v>
      </x:c>
      <x:c r="C132" s="13" t="str">
        <x:v>Humidification</x:v>
      </x:c>
      <x:c r="D132" s="14"/>
      <x:c r="E132" s="14"/>
      <x:c r="F132" s="14"/>
      <x:c r="G132" s="14" t="str">
        <x:f>IF(AND(ISNUMBER(E132),ISNUMBER(F132)),E132+F132,"")</x:f>
      </x:c>
      <x:c r="H132" s="14"/>
      <x:c r="I132" s="15" t="n">
        <x:v>32</x:v>
      </x:c>
      <x:c r="J132" s="13" t="str">
        <x:v>Group or cross-reference; no separate numerical defaults</x:v>
      </x:c>
    </x:row>
    <x:row r="133" ht="32" customHeight="1">
      <x:c r="A133" s="1" t="str">
        <x:v>A3</x:v>
      </x:c>
      <x:c r="B133" s="10" t="str">
        <x:v>2.1.4.1</x:v>
      </x:c>
      <x:c r="C133" s="7" t="str">
        <x:v>Humidification / Vaporization</x:v>
      </x:c>
      <x:c r="D133" s="8" t="n">
        <x:v>10</x:v>
      </x:c>
      <x:c r="E133" s="8" t="n">
        <x:v>3</x:v>
      </x:c>
      <x:c r="F133" s="8" t="n">
        <x:v>4</x:v>
      </x:c>
      <x:c r="G133" s="8" t="n">
        <x:f>IF(AND(ISNUMBER(E133),ISNUMBER(F133)),E133+F133,"")</x:f>
        <x:v>7</x:v>
      </x:c>
      <x:c r="H133" s="8" t="n">
        <x:v>0</x:v>
      </x:c>
      <x:c r="I133" s="9" t="n">
        <x:v>32</x:v>
      </x:c>
      <x:c r="J133" s="7" t="str">
        <x:v>Unnumbered subtype: parent VDI number retained</x:v>
      </x:c>
    </x:row>
    <x:row r="134" ht="32" customHeight="1">
      <x:c r="A134" s="1" t="str">
        <x:v>A3</x:v>
      </x:c>
      <x:c r="B134" s="10" t="str">
        <x:v>2.1.4.1</x:v>
      </x:c>
      <x:c r="C134" s="7" t="str">
        <x:v>Humidification / Evaporation</x:v>
      </x:c>
      <x:c r="D134" s="8" t="n">
        <x:v>12</x:v>
      </x:c>
      <x:c r="E134" s="8" t="n">
        <x:v>3</x:v>
      </x:c>
      <x:c r="F134" s="8" t="n">
        <x:v>4</x:v>
      </x:c>
      <x:c r="G134" s="8" t="n">
        <x:f>IF(AND(ISNUMBER(E134),ISNUMBER(F134)),E134+F134,"")</x:f>
        <x:v>7</x:v>
      </x:c>
      <x:c r="H134" s="8" t="n">
        <x:v>0</x:v>
      </x:c>
      <x:c r="I134" s="9" t="n">
        <x:v>32</x:v>
      </x:c>
      <x:c r="J134" s="7" t="str">
        <x:v>Unnumbered subtype: parent VDI number retained</x:v>
      </x:c>
    </x:row>
    <x:row r="135" ht="32" customHeight="1">
      <x:c r="A135" s="1" t="str">
        <x:v>A3</x:v>
      </x:c>
      <x:c r="B135" s="10" t="str">
        <x:v>2.1.4.1</x:v>
      </x:c>
      <x:c r="C135" s="7" t="str">
        <x:v>Humidification / Water nozzle</x:v>
      </x:c>
      <x:c r="D135" s="8" t="n">
        <x:v>15</x:v>
      </x:c>
      <x:c r="E135" s="8" t="n">
        <x:v>3</x:v>
      </x:c>
      <x:c r="F135" s="8" t="n">
        <x:v>4</x:v>
      </x:c>
      <x:c r="G135" s="8" t="n">
        <x:f>IF(AND(ISNUMBER(E135),ISNUMBER(F135)),E135+F135,"")</x:f>
        <x:v>7</x:v>
      </x:c>
      <x:c r="H135" s="8" t="n">
        <x:v>0</x:v>
      </x:c>
      <x:c r="I135" s="9" t="n">
        <x:v>32</x:v>
      </x:c>
      <x:c r="J135" s="7" t="str">
        <x:v>Unnumbered subtype: parent VDI number retained</x:v>
      </x:c>
    </x:row>
    <x:row r="136" ht="32" customHeight="1">
      <x:c r="A136" s="11" t="str">
        <x:v>A3</x:v>
      </x:c>
      <x:c r="B136" s="12" t="str">
        <x:v>2.1.4.2</x:v>
      </x:c>
      <x:c r="C136" s="13" t="str">
        <x:v>Dehumidification</x:v>
      </x:c>
      <x:c r="D136" s="14"/>
      <x:c r="E136" s="14"/>
      <x:c r="F136" s="14"/>
      <x:c r="G136" s="14" t="str">
        <x:f>IF(AND(ISNUMBER(E136),ISNUMBER(F136)),E136+F136,"")</x:f>
      </x:c>
      <x:c r="H136" s="14"/>
      <x:c r="I136" s="15" t="n">
        <x:v>32</x:v>
      </x:c>
      <x:c r="J136" s="13" t="str">
        <x:v>Group or cross-reference; no separate numerical defaults</x:v>
      </x:c>
    </x:row>
    <x:row r="137" ht="32" customHeight="1">
      <x:c r="A137" s="1" t="str">
        <x:v>A3</x:v>
      </x:c>
      <x:c r="B137" s="10" t="str">
        <x:v>2.1.4.2</x:v>
      </x:c>
      <x:c r="C137" s="7" t="str">
        <x:v>Dehumidification / Cooler</x:v>
      </x:c>
      <x:c r="D137" s="8" t="n">
        <x:v>15</x:v>
      </x:c>
      <x:c r="E137" s="8" t="n">
        <x:v>2</x:v>
      </x:c>
      <x:c r="F137" s="8" t="n">
        <x:v>4</x:v>
      </x:c>
      <x:c r="G137" s="8" t="n">
        <x:f>IF(AND(ISNUMBER(E137),ISNUMBER(F137)),E137+F137,"")</x:f>
        <x:v>6</x:v>
      </x:c>
      <x:c r="H137" s="8" t="n">
        <x:v>0</x:v>
      </x:c>
      <x:c r="I137" s="9" t="n">
        <x:v>32</x:v>
      </x:c>
      <x:c r="J137" s="7" t="str">
        <x:v>Unnumbered subtype: parent VDI number retained</x:v>
      </x:c>
    </x:row>
    <x:row r="138" ht="32" customHeight="1">
      <x:c r="A138" s="1" t="str">
        <x:v>A3</x:v>
      </x:c>
      <x:c r="B138" s="10" t="str">
        <x:v>2.1.4.2</x:v>
      </x:c>
      <x:c r="C138" s="7" t="str">
        <x:v>Dehumidification / Absorption/adsorption</x:v>
      </x:c>
      <x:c r="D138" s="8" t="n">
        <x:v>10</x:v>
      </x:c>
      <x:c r="E138" s="8" t="n">
        <x:v>3</x:v>
      </x:c>
      <x:c r="F138" s="8" t="n">
        <x:v>3</x:v>
      </x:c>
      <x:c r="G138" s="8" t="n">
        <x:f>IF(AND(ISNUMBER(E138),ISNUMBER(F138)),E138+F138,"")</x:f>
        <x:v>6</x:v>
      </x:c>
      <x:c r="H138" s="8" t="n">
        <x:v>0</x:v>
      </x:c>
      <x:c r="I138" s="9" t="n">
        <x:v>32</x:v>
      </x:c>
      <x:c r="J138" s="7" t="str">
        <x:v>Unnumbered subtype: parent VDI number retained</x:v>
      </x:c>
    </x:row>
    <x:row r="139" ht="32" customHeight="1">
      <x:c r="A139" s="11" t="str">
        <x:v>A3</x:v>
      </x:c>
      <x:c r="B139" s="12" t="str">
        <x:v>2.1.5</x:v>
      </x:c>
      <x:c r="C139" s="13" t="str">
        <x:v>Air purifiers</x:v>
      </x:c>
      <x:c r="D139" s="14"/>
      <x:c r="E139" s="14"/>
      <x:c r="F139" s="14"/>
      <x:c r="G139" s="14" t="str">
        <x:f>IF(AND(ISNUMBER(E139),ISNUMBER(F139)),E139+F139,"")</x:f>
      </x:c>
      <x:c r="H139" s="14"/>
      <x:c r="I139" s="15" t="n">
        <x:v>32</x:v>
      </x:c>
      <x:c r="J139" s="13" t="str">
        <x:v>Group or cross-reference; no separate numerical defaults</x:v>
      </x:c>
    </x:row>
    <x:row r="140" ht="32" customHeight="1">
      <x:c r="A140" s="1" t="str">
        <x:v>A3</x:v>
      </x:c>
      <x:c r="B140" s="10" t="str">
        <x:v>2.1.5.1</x:v>
      </x:c>
      <x:c r="C140" s="7" t="str">
        <x:v>Rough filter, single-stage</x:v>
      </x:c>
      <x:c r="D140" s="8" t="n">
        <x:v>0.5</x:v>
      </x:c>
      <x:c r="E140" s="16"/>
      <x:c r="F140" s="16"/>
      <x:c r="G140" s="16" t="str">
        <x:f>IF(AND(ISNUMBER(E140),ISNUMBER(F140)),E140+F140,"")</x:f>
      </x:c>
      <x:c r="H140" s="8"/>
      <x:c r="I140" s="9" t="n">
        <x:v>32</x:v>
      </x:c>
      <x:c r="J140" s="7" t="str">
        <x:v>Dash in source: unspecified; enter maintenance manually</x:v>
      </x:c>
    </x:row>
    <x:row r="141" ht="32" customHeight="1">
      <x:c r="A141" s="1" t="str">
        <x:v>A3</x:v>
      </x:c>
      <x:c r="B141" s="10" t="str">
        <x:v>2.1.5.2</x:v>
      </x:c>
      <x:c r="C141" s="7" t="str">
        <x:v>Fine filter, multiple-stage</x:v>
      </x:c>
      <x:c r="D141" s="8" t="n">
        <x:v>1</x:v>
      </x:c>
      <x:c r="E141" s="16"/>
      <x:c r="F141" s="16"/>
      <x:c r="G141" s="16" t="str">
        <x:f>IF(AND(ISNUMBER(E141),ISNUMBER(F141)),E141+F141,"")</x:f>
      </x:c>
      <x:c r="H141" s="8"/>
      <x:c r="I141" s="9" t="n">
        <x:v>32</x:v>
      </x:c>
      <x:c r="J141" s="7" t="str">
        <x:v>Dash in source: unspecified; enter maintenance manually</x:v>
      </x:c>
    </x:row>
    <x:row r="142" ht="32" customHeight="1">
      <x:c r="A142" s="1" t="str">
        <x:v>A3</x:v>
      </x:c>
      <x:c r="B142" s="10" t="str">
        <x:v>2.1.5</x:v>
      </x:c>
      <x:c r="C142" s="7" t="str">
        <x:v>Air purifiers / Electrical filter</x:v>
      </x:c>
      <x:c r="D142" s="8" t="n">
        <x:v>20</x:v>
      </x:c>
      <x:c r="E142" s="8" t="n">
        <x:v>3</x:v>
      </x:c>
      <x:c r="F142" s="8" t="n">
        <x:v>6</x:v>
      </x:c>
      <x:c r="G142" s="8" t="n">
        <x:f>IF(AND(ISNUMBER(E142),ISNUMBER(F142)),E142+F142,"")</x:f>
        <x:v>9</x:v>
      </x:c>
      <x:c r="H142" s="8" t="n">
        <x:v>0</x:v>
      </x:c>
      <x:c r="I142" s="9" t="n">
        <x:v>32</x:v>
      </x:c>
      <x:c r="J142" s="7" t="str">
        <x:v>Unnumbered subtype: parent VDI number retained</x:v>
      </x:c>
    </x:row>
    <x:row r="143" ht="32" customHeight="1">
      <x:c r="A143" s="1" t="str">
        <x:v>A3</x:v>
      </x:c>
      <x:c r="B143" s="10" t="str">
        <x:v>2.1.5</x:v>
      </x:c>
      <x:c r="C143" s="7" t="str">
        <x:v>Air purifiers / Active carbon filter</x:v>
      </x:c>
      <x:c r="D143" s="8" t="n">
        <x:v>0.5</x:v>
      </x:c>
      <x:c r="E143" s="16"/>
      <x:c r="F143" s="16"/>
      <x:c r="G143" s="16" t="str">
        <x:f>IF(AND(ISNUMBER(E143),ISNUMBER(F143)),E143+F143,"")</x:f>
      </x:c>
      <x:c r="H143" s="8"/>
      <x:c r="I143" s="9" t="n">
        <x:v>32</x:v>
      </x:c>
      <x:c r="J143" s="7" t="str">
        <x:v>Dash in source: unspecified; enter maintenance manually</x:v>
      </x:c>
    </x:row>
    <x:row r="144" ht="32" customHeight="1">
      <x:c r="A144" s="1" t="str">
        <x:v>A3</x:v>
      </x:c>
      <x:c r="B144" s="10" t="str">
        <x:v>2.1.5</x:v>
      </x:c>
      <x:c r="C144" s="7" t="str">
        <x:v>Air purifiers / Cleanable filters</x:v>
      </x:c>
      <x:c r="D144" s="8" t="n">
        <x:v>8</x:v>
      </x:c>
      <x:c r="E144" s="8" t="n">
        <x:v>15</x:v>
      </x:c>
      <x:c r="F144" s="8" t="n">
        <x:v>2</x:v>
      </x:c>
      <x:c r="G144" s="8" t="n">
        <x:f>IF(AND(ISNUMBER(E144),ISNUMBER(F144)),E144+F144,"")</x:f>
        <x:v>17</x:v>
      </x:c>
      <x:c r="H144" s="8" t="n">
        <x:v>0</x:v>
      </x:c>
      <x:c r="I144" s="9" t="n">
        <x:v>32</x:v>
      </x:c>
      <x:c r="J144" s="7" t="str">
        <x:v>Unnumbered subtype: parent VDI number retained</x:v>
      </x:c>
    </x:row>
    <x:row r="145" ht="32" customHeight="1">
      <x:c r="A145" s="11" t="str">
        <x:v>A3</x:v>
      </x:c>
      <x:c r="B145" s="12" t="str">
        <x:v>2.1.6</x:v>
      </x:c>
      <x:c r="C145" s="13" t="str">
        <x:v>Air transport</x:v>
      </x:c>
      <x:c r="D145" s="14"/>
      <x:c r="E145" s="14"/>
      <x:c r="F145" s="14"/>
      <x:c r="G145" s="14" t="str">
        <x:f>IF(AND(ISNUMBER(E145),ISNUMBER(F145)),E145+F145,"")</x:f>
      </x:c>
      <x:c r="H145" s="14"/>
      <x:c r="I145" s="15" t="n">
        <x:v>33</x:v>
      </x:c>
      <x:c r="J145" s="13" t="str">
        <x:v>Group or cross-reference; no separate numerical defaults</x:v>
      </x:c>
    </x:row>
    <x:row r="146" ht="32" customHeight="1">
      <x:c r="A146" s="11" t="str">
        <x:v>A3</x:v>
      </x:c>
      <x:c r="B146" s="12" t="str">
        <x:v>2.1.6.1</x:v>
      </x:c>
      <x:c r="C146" s="13" t="str">
        <x:v>Fan, axial</x:v>
      </x:c>
      <x:c r="D146" s="14"/>
      <x:c r="E146" s="14"/>
      <x:c r="F146" s="14"/>
      <x:c r="G146" s="14" t="str">
        <x:f>IF(AND(ISNUMBER(E146),ISNUMBER(F146)),E146+F146,"")</x:f>
      </x:c>
      <x:c r="H146" s="14"/>
      <x:c r="I146" s="15" t="n">
        <x:v>33</x:v>
      </x:c>
      <x:c r="J146" s="13" t="str">
        <x:v>Group or cross-reference; no separate numerical defaults</x:v>
      </x:c>
    </x:row>
    <x:row r="147" ht="32" customHeight="1">
      <x:c r="A147" s="1" t="str">
        <x:v>A3</x:v>
      </x:c>
      <x:c r="B147" s="10" t="str">
        <x:v>2.1.6.1</x:v>
      </x:c>
      <x:c r="C147" s="7" t="str">
        <x:v>Fan, axial / Wall-mounted fan</x:v>
      </x:c>
      <x:c r="D147" s="8" t="n">
        <x:v>8</x:v>
      </x:c>
      <x:c r="E147" s="8" t="n">
        <x:v>0</x:v>
      </x:c>
      <x:c r="F147" s="8" t="n">
        <x:v>5</x:v>
      </x:c>
      <x:c r="G147" s="8" t="n">
        <x:f>IF(AND(ISNUMBER(E147),ISNUMBER(F147)),E147+F147,"")</x:f>
        <x:v>5</x:v>
      </x:c>
      <x:c r="H147" s="8" t="n">
        <x:v>0</x:v>
      </x:c>
      <x:c r="I147" s="9" t="n">
        <x:v>33</x:v>
      </x:c>
      <x:c r="J147" s="7" t="str">
        <x:v>Unnumbered subtype: parent VDI number retained</x:v>
      </x:c>
    </x:row>
    <x:row r="148" ht="32" customHeight="1">
      <x:c r="A148" s="1" t="str">
        <x:v>A3</x:v>
      </x:c>
      <x:c r="B148" s="10" t="str">
        <x:v>2.1.6.1</x:v>
      </x:c>
      <x:c r="C148" s="7" t="str">
        <x:v>Fan, axial / Duct-installed fan</x:v>
      </x:c>
      <x:c r="D148" s="8" t="n">
        <x:v>12</x:v>
      </x:c>
      <x:c r="E148" s="8" t="n">
        <x:v>2</x:v>
      </x:c>
      <x:c r="F148" s="8" t="n">
        <x:v>5</x:v>
      </x:c>
      <x:c r="G148" s="8" t="n">
        <x:f>IF(AND(ISNUMBER(E148),ISNUMBER(F148)),E148+F148,"")</x:f>
        <x:v>7</x:v>
      </x:c>
      <x:c r="H148" s="8" t="n">
        <x:v>0</x:v>
      </x:c>
      <x:c r="I148" s="9" t="n">
        <x:v>33</x:v>
      </x:c>
      <x:c r="J148" s="7" t="str">
        <x:v>Unnumbered subtype: parent VDI number retained</x:v>
      </x:c>
    </x:row>
    <x:row r="149" ht="32" customHeight="1">
      <x:c r="A149" s="1" t="str">
        <x:v>A3</x:v>
      </x:c>
      <x:c r="B149" s="10" t="str">
        <x:v>2.1.6.1</x:v>
      </x:c>
      <x:c r="C149" s="7" t="str">
        <x:v>Fan, axial / Fan with belt drive</x:v>
      </x:c>
      <x:c r="D149" s="8" t="n">
        <x:v>18</x:v>
      </x:c>
      <x:c r="E149" s="8" t="n">
        <x:v>3</x:v>
      </x:c>
      <x:c r="F149" s="8" t="n">
        <x:v>10</x:v>
      </x:c>
      <x:c r="G149" s="8" t="n">
        <x:f>IF(AND(ISNUMBER(E149),ISNUMBER(F149)),E149+F149,"")</x:f>
        <x:v>13</x:v>
      </x:c>
      <x:c r="H149" s="8" t="n">
        <x:v>0</x:v>
      </x:c>
      <x:c r="I149" s="9" t="n">
        <x:v>33</x:v>
      </x:c>
      <x:c r="J149" s="7" t="str">
        <x:v>Unnumbered subtype: parent VDI number retained</x:v>
      </x:c>
    </x:row>
    <x:row r="150" ht="32" customHeight="1">
      <x:c r="A150" s="1" t="str">
        <x:v>A3</x:v>
      </x:c>
      <x:c r="B150" s="10" t="str">
        <x:v>2.1.6.1</x:v>
      </x:c>
      <x:c r="C150" s="7" t="str">
        <x:v>Fan, axial / Fan with direct drive</x:v>
      </x:c>
      <x:c r="D150" s="8" t="n">
        <x:v>12</x:v>
      </x:c>
      <x:c r="E150" s="8" t="n">
        <x:v>2</x:v>
      </x:c>
      <x:c r="F150" s="8" t="n">
        <x:v>5</x:v>
      </x:c>
      <x:c r="G150" s="8" t="n">
        <x:f>IF(AND(ISNUMBER(E150),ISNUMBER(F150)),E150+F150,"")</x:f>
        <x:v>7</x:v>
      </x:c>
      <x:c r="H150" s="8" t="n">
        <x:v>0</x:v>
      </x:c>
      <x:c r="I150" s="9" t="n">
        <x:v>33</x:v>
      </x:c>
      <x:c r="J150" s="7" t="str">
        <x:v>Unnumbered subtype: parent VDI number retained</x:v>
      </x:c>
    </x:row>
    <x:row r="151" ht="32" customHeight="1">
      <x:c r="A151" s="1" t="str">
        <x:v>A3</x:v>
      </x:c>
      <x:c r="B151" s="10" t="str">
        <x:v>2.1.6.3</x:v>
      </x:c>
      <x:c r="C151" s="7" t="str">
        <x:v>Fan, radial</x:v>
      </x:c>
      <x:c r="D151" s="8" t="n">
        <x:v>12</x:v>
      </x:c>
      <x:c r="E151" s="8" t="n">
        <x:v>1</x:v>
      </x:c>
      <x:c r="F151" s="8" t="n">
        <x:v>3</x:v>
      </x:c>
      <x:c r="G151" s="8" t="n">
        <x:f>IF(AND(ISNUMBER(E151),ISNUMBER(F151)),E151+F151,"")</x:f>
        <x:v>4</x:v>
      </x:c>
      <x:c r="H151" s="8" t="n">
        <x:v>0</x:v>
      </x:c>
      <x:c r="I151" s="9" t="n">
        <x:v>33</x:v>
      </x:c>
      <x:c r="J151" s="7" t="str"/>
    </x:row>
    <x:row r="152" ht="32" customHeight="1">
      <x:c r="A152" s="1" t="str">
        <x:v>A3</x:v>
      </x:c>
      <x:c r="B152" s="10" t="str">
        <x:v>2.1.6.4</x:v>
      </x:c>
      <x:c r="C152" s="7" t="str">
        <x:v>Cross-flow fan</x:v>
      </x:c>
      <x:c r="D152" s="8" t="n">
        <x:v>12</x:v>
      </x:c>
      <x:c r="E152" s="8" t="n">
        <x:v>2</x:v>
      </x:c>
      <x:c r="F152" s="8" t="n">
        <x:v>10</x:v>
      </x:c>
      <x:c r="G152" s="8" t="n">
        <x:f>IF(AND(ISNUMBER(E152),ISNUMBER(F152)),E152+F152,"")</x:f>
        <x:v>12</x:v>
      </x:c>
      <x:c r="H152" s="8" t="n">
        <x:v>0</x:v>
      </x:c>
      <x:c r="I152" s="9" t="n">
        <x:v>33</x:v>
      </x:c>
      <x:c r="J152" s="7" t="str"/>
    </x:row>
    <x:row r="153" ht="32" customHeight="1">
      <x:c r="A153" s="1" t="str">
        <x:v>A3</x:v>
      </x:c>
      <x:c r="B153" s="10" t="str">
        <x:v>2.1.7</x:v>
      </x:c>
      <x:c r="C153" s="7" t="str">
        <x:v>Sound absorber</x:v>
      </x:c>
      <x:c r="D153" s="8" t="n">
        <x:v>20</x:v>
      </x:c>
      <x:c r="E153" s="8" t="n">
        <x:v>0</x:v>
      </x:c>
      <x:c r="F153" s="8" t="n">
        <x:v>1</x:v>
      </x:c>
      <x:c r="G153" s="8" t="n">
        <x:f>IF(AND(ISNUMBER(E153),ISNUMBER(F153)),E153+F153,"")</x:f>
        <x:v>1</x:v>
      </x:c>
      <x:c r="H153" s="8" t="n">
        <x:v>0</x:v>
      </x:c>
      <x:c r="I153" s="9" t="n">
        <x:v>33</x:v>
      </x:c>
      <x:c r="J153" s="7" t="str"/>
    </x:row>
    <x:row r="154" ht="32" customHeight="1">
      <x:c r="A154" s="1" t="str">
        <x:v>A3</x:v>
      </x:c>
      <x:c r="B154" s="10" t="str">
        <x:v>2.1.8</x:v>
      </x:c>
      <x:c r="C154" s="7" t="str">
        <x:v>Air duct/air channels</x:v>
      </x:c>
      <x:c r="D154" s="8" t="n">
        <x:v>30</x:v>
      </x:c>
      <x:c r="E154" s="8" t="n">
        <x:v>0</x:v>
      </x:c>
      <x:c r="F154" s="8" t="n">
        <x:v>2</x:v>
      </x:c>
      <x:c r="G154" s="8" t="n">
        <x:f>IF(AND(ISNUMBER(E154),ISNUMBER(F154)),E154+F154,"")</x:f>
        <x:v>2</x:v>
      </x:c>
      <x:c r="H154" s="8" t="n">
        <x:v>0</x:v>
      </x:c>
      <x:c r="I154" s="9" t="n">
        <x:v>33</x:v>
      </x:c>
      <x:c r="J154" s="7" t="str"/>
    </x:row>
    <x:row r="155" ht="32" customHeight="1">
      <x:c r="A155" s="11" t="str">
        <x:v>A3</x:v>
      </x:c>
      <x:c r="B155" s="12" t="str">
        <x:v>2.2</x:v>
      </x:c>
      <x:c r="C155" s="13" t="str">
        <x:v>Distribution</x:v>
      </x:c>
      <x:c r="D155" s="14"/>
      <x:c r="E155" s="14"/>
      <x:c r="F155" s="14"/>
      <x:c r="G155" s="14" t="str">
        <x:f>IF(AND(ISNUMBER(E155),ISNUMBER(F155)),E155+F155,"")</x:f>
      </x:c>
      <x:c r="H155" s="14"/>
      <x:c r="I155" s="15" t="n">
        <x:v>33</x:v>
      </x:c>
      <x:c r="J155" s="13" t="str">
        <x:v>Group or cross-reference; no separate numerical defaults</x:v>
      </x:c>
    </x:row>
    <x:row r="156" ht="32" customHeight="1">
      <x:c r="A156" s="11" t="str">
        <x:v>A3</x:v>
      </x:c>
      <x:c r="B156" s="12" t="str">
        <x:v>2.2.1</x:v>
      </x:c>
      <x:c r="C156" s="13" t="str">
        <x:v>Hot water, see heating</x:v>
      </x:c>
      <x:c r="D156" s="14"/>
      <x:c r="E156" s="14"/>
      <x:c r="F156" s="14"/>
      <x:c r="G156" s="14" t="str">
        <x:f>IF(AND(ISNUMBER(E156),ISNUMBER(F156)),E156+F156,"")</x:f>
      </x:c>
      <x:c r="H156" s="14"/>
      <x:c r="I156" s="15" t="n">
        <x:v>33</x:v>
      </x:c>
      <x:c r="J156" s="13" t="str">
        <x:v>Group or cross-reference; no separate numerical defaults</x:v>
      </x:c>
    </x:row>
    <x:row r="157" ht="32" customHeight="1">
      <x:c r="A157" s="11" t="str">
        <x:v>A3</x:v>
      </x:c>
      <x:c r="B157" s="12" t="str">
        <x:v>2.2.2</x:v>
      </x:c>
      <x:c r="C157" s="13" t="str">
        <x:v>Cold water</x:v>
      </x:c>
      <x:c r="D157" s="14"/>
      <x:c r="E157" s="14"/>
      <x:c r="F157" s="14"/>
      <x:c r="G157" s="14" t="str">
        <x:f>IF(AND(ISNUMBER(E157),ISNUMBER(F157)),E157+F157,"")</x:f>
      </x:c>
      <x:c r="H157" s="14"/>
      <x:c r="I157" s="15" t="n">
        <x:v>33</x:v>
      </x:c>
      <x:c r="J157" s="13" t="str">
        <x:v>Group or cross-reference; no separate numerical defaults</x:v>
      </x:c>
    </x:row>
    <x:row r="158" ht="32" customHeight="1">
      <x:c r="A158" s="1" t="str">
        <x:v>A3</x:v>
      </x:c>
      <x:c r="B158" s="10" t="str">
        <x:v>2.2.2</x:v>
      </x:c>
      <x:c r="C158" s="7" t="str">
        <x:v>Cold water / Piping, plumbing</x:v>
      </x:c>
      <x:c r="D158" s="8" t="n">
        <x:v>40</x:v>
      </x:c>
      <x:c r="E158" s="8" t="n">
        <x:v>1</x:v>
      </x:c>
      <x:c r="F158" s="8" t="n">
        <x:v>0</x:v>
      </x:c>
      <x:c r="G158" s="8" t="n">
        <x:f>IF(AND(ISNUMBER(E158),ISNUMBER(F158)),E158+F158,"")</x:f>
        <x:v>1</x:v>
      </x:c>
      <x:c r="H158" s="8" t="n">
        <x:v>0</x:v>
      </x:c>
      <x:c r="I158" s="9" t="n">
        <x:v>33</x:v>
      </x:c>
      <x:c r="J158" s="7" t="str">
        <x:v>Unnumbered subtype: parent VDI number retained</x:v>
      </x:c>
    </x:row>
    <x:row r="159" ht="32" customHeight="1">
      <x:c r="A159" s="1" t="str">
        <x:v>A3</x:v>
      </x:c>
      <x:c r="B159" s="10" t="str">
        <x:v>2.2.2</x:v>
      </x:c>
      <x:c r="C159" s="7" t="str">
        <x:v>Cold water / Insulation</x:v>
      </x:c>
      <x:c r="D159" s="8" t="n">
        <x:v>20</x:v>
      </x:c>
      <x:c r="E159" s="8" t="n">
        <x:v>1</x:v>
      </x:c>
      <x:c r="F159" s="8" t="n">
        <x:v>0</x:v>
      </x:c>
      <x:c r="G159" s="8" t="n">
        <x:f>IF(AND(ISNUMBER(E159),ISNUMBER(F159)),E159+F159,"")</x:f>
        <x:v>1</x:v>
      </x:c>
      <x:c r="H159" s="8" t="n">
        <x:v>0</x:v>
      </x:c>
      <x:c r="I159" s="9" t="n">
        <x:v>33</x:v>
      </x:c>
      <x:c r="J159" s="7" t="str">
        <x:v>Unnumbered subtype: parent VDI number retained</x:v>
      </x:c>
    </x:row>
    <x:row r="160" ht="32" customHeight="1">
      <x:c r="A160" s="1" t="str">
        <x:v>A3</x:v>
      </x:c>
      <x:c r="B160" s="10" t="str">
        <x:v>2.2.2</x:v>
      </x:c>
      <x:c r="C160" s="7" t="str">
        <x:v>Cold water / Pumps</x:v>
      </x:c>
      <x:c r="D160" s="8" t="n">
        <x:v>10</x:v>
      </x:c>
      <x:c r="E160" s="8" t="n">
        <x:v>2</x:v>
      </x:c>
      <x:c r="F160" s="8" t="n">
        <x:v>0</x:v>
      </x:c>
      <x:c r="G160" s="8" t="n">
        <x:f>IF(AND(ISNUMBER(E160),ISNUMBER(F160)),E160+F160,"")</x:f>
        <x:v>2</x:v>
      </x:c>
      <x:c r="H160" s="8" t="n">
        <x:v>0</x:v>
      </x:c>
      <x:c r="I160" s="9" t="n">
        <x:v>33</x:v>
      </x:c>
      <x:c r="J160" s="7" t="str">
        <x:v>Unnumbered subtype: parent VDI number retained</x:v>
      </x:c>
    </x:row>
    <x:row r="161" ht="32" customHeight="1">
      <x:c r="A161" s="1" t="str">
        <x:v>A3</x:v>
      </x:c>
      <x:c r="B161" s="10" t="str">
        <x:v>2.2.2</x:v>
      </x:c>
      <x:c r="C161" s="7" t="str">
        <x:v>Cold water / Fixtures and fittings</x:v>
      </x:c>
      <x:c r="D161" s="8" t="n">
        <x:v>20</x:v>
      </x:c>
      <x:c r="E161" s="8" t="n">
        <x:v>1.5</x:v>
      </x:c>
      <x:c r="F161" s="8" t="n">
        <x:v>1</x:v>
      </x:c>
      <x:c r="G161" s="8" t="n">
        <x:f>IF(AND(ISNUMBER(E161),ISNUMBER(F161)),E161+F161,"")</x:f>
        <x:v>2.5</x:v>
      </x:c>
      <x:c r="H161" s="8" t="n">
        <x:v>0</x:v>
      </x:c>
      <x:c r="I161" s="9" t="n">
        <x:v>33</x:v>
      </x:c>
      <x:c r="J161" s="7" t="str">
        <x:v>Unnumbered subtype: parent VDI number retained</x:v>
      </x:c>
    </x:row>
    <x:row r="162" ht="32" customHeight="1">
      <x:c r="A162" s="1" t="str">
        <x:v>A3</x:v>
      </x:c>
      <x:c r="B162" s="10" t="str">
        <x:v>2.2.2</x:v>
      </x:c>
      <x:c r="C162" s="7" t="str">
        <x:v>Cold water / Control</x:v>
      </x:c>
      <x:c r="D162" s="8" t="n">
        <x:v>15</x:v>
      </x:c>
      <x:c r="E162" s="8" t="n">
        <x:v>1.5</x:v>
      </x:c>
      <x:c r="F162" s="8" t="n">
        <x:v>1</x:v>
      </x:c>
      <x:c r="G162" s="8" t="n">
        <x:f>IF(AND(ISNUMBER(E162),ISNUMBER(F162)),E162+F162,"")</x:f>
        <x:v>2.5</x:v>
      </x:c>
      <x:c r="H162" s="8" t="n">
        <x:v>0</x:v>
      </x:c>
      <x:c r="I162" s="9" t="n">
        <x:v>33</x:v>
      </x:c>
      <x:c r="J162" s="7" t="str">
        <x:v>Unnumbered subtype: parent VDI number retained</x:v>
      </x:c>
    </x:row>
    <x:row r="163" ht="32" customHeight="1">
      <x:c r="A163" s="1" t="str">
        <x:v>A3</x:v>
      </x:c>
      <x:c r="B163" s="10" t="str">
        <x:v>2.2.2</x:v>
      </x:c>
      <x:c r="C163" s="7" t="str">
        <x:v>Cold water / Expansion tanks</x:v>
      </x:c>
      <x:c r="D163" s="8" t="n">
        <x:v>15</x:v>
      </x:c>
      <x:c r="E163" s="8" t="n">
        <x:v>0.5</x:v>
      </x:c>
      <x:c r="F163" s="8" t="n">
        <x:v>1</x:v>
      </x:c>
      <x:c r="G163" s="8" t="n">
        <x:f>IF(AND(ISNUMBER(E163),ISNUMBER(F163)),E163+F163,"")</x:f>
        <x:v>1.5</x:v>
      </x:c>
      <x:c r="H163" s="8" t="n">
        <x:v>0</x:v>
      </x:c>
      <x:c r="I163" s="9" t="n">
        <x:v>33</x:v>
      </x:c>
      <x:c r="J163" s="7" t="str">
        <x:v>Unnumbered subtype: parent VDI number retained</x:v>
      </x:c>
    </x:row>
    <x:row r="164" ht="32" customHeight="1">
      <x:c r="A164" s="11" t="str">
        <x:v>A3</x:v>
      </x:c>
      <x:c r="B164" s="12" t="str">
        <x:v>2.3</x:v>
      </x:c>
      <x:c r="C164" s="13" t="str">
        <x:v>Generation</x:v>
      </x:c>
      <x:c r="D164" s="14"/>
      <x:c r="E164" s="14"/>
      <x:c r="F164" s="14"/>
      <x:c r="G164" s="14" t="str">
        <x:f>IF(AND(ISNUMBER(E164),ISNUMBER(F164)),E164+F164,"")</x:f>
      </x:c>
      <x:c r="H164" s="14"/>
      <x:c r="I164" s="15" t="n">
        <x:v>33</x:v>
      </x:c>
      <x:c r="J164" s="13" t="str">
        <x:v>Group or cross-reference; no separate numerical defaults</x:v>
      </x:c>
    </x:row>
    <x:row r="165" ht="32" customHeight="1">
      <x:c r="A165" s="11" t="str">
        <x:v>A3</x:v>
      </x:c>
      <x:c r="B165" s="12" t="str">
        <x:v>2.3.1</x:v>
      </x:c>
      <x:c r="C165" s="13" t="str">
        <x:v>Heat, see heating</x:v>
      </x:c>
      <x:c r="D165" s="14"/>
      <x:c r="E165" s="14"/>
      <x:c r="F165" s="14"/>
      <x:c r="G165" s="14" t="str">
        <x:f>IF(AND(ISNUMBER(E165),ISNUMBER(F165)),E165+F165,"")</x:f>
      </x:c>
      <x:c r="H165" s="14"/>
      <x:c r="I165" s="15" t="n">
        <x:v>33</x:v>
      </x:c>
      <x:c r="J165" s="13" t="str">
        <x:v>Group or cross-reference; no separate numerical defaults</x:v>
      </x:c>
    </x:row>
    <x:row r="166" ht="32" customHeight="1">
      <x:c r="A166" s="11" t="str">
        <x:v>A3</x:v>
      </x:c>
      <x:c r="B166" s="12" t="str">
        <x:v>2.3.2</x:v>
      </x:c>
      <x:c r="C166" s="13" t="str">
        <x:v>Cooling</x:v>
      </x:c>
      <x:c r="D166" s="14"/>
      <x:c r="E166" s="14"/>
      <x:c r="F166" s="14"/>
      <x:c r="G166" s="14" t="str">
        <x:f>IF(AND(ISNUMBER(E166),ISNUMBER(F166)),E166+F166,"")</x:f>
      </x:c>
      <x:c r="H166" s="14"/>
      <x:c r="I166" s="15" t="n">
        <x:v>33</x:v>
      </x:c>
      <x:c r="J166" s="13" t="str">
        <x:v>Group or cross-reference; no separate numerical defaults</x:v>
      </x:c>
    </x:row>
    <x:row r="167" ht="32" customHeight="1">
      <x:c r="A167" s="11" t="str">
        <x:v>A3</x:v>
      </x:c>
      <x:c r="B167" s="12" t="str">
        <x:v>2.3.2.1</x:v>
      </x:c>
      <x:c r="C167" s="13" t="str">
        <x:v>Cooling unit, indirect</x:v>
      </x:c>
      <x:c r="D167" s="14"/>
      <x:c r="E167" s="14"/>
      <x:c r="F167" s="14"/>
      <x:c r="G167" s="14" t="str">
        <x:f>IF(AND(ISNUMBER(E167),ISNUMBER(F167)),E167+F167,"")</x:f>
      </x:c>
      <x:c r="H167" s="14"/>
      <x:c r="I167" s="15" t="n">
        <x:v>33</x:v>
      </x:c>
      <x:c r="J167" s="13" t="str">
        <x:v>Group or cross-reference; no separate numerical defaults</x:v>
      </x:c>
    </x:row>
    <x:row r="168" ht="32" customHeight="1">
      <x:c r="A168" s="1" t="str">
        <x:v>A3</x:v>
      </x:c>
      <x:c r="B168" s="10" t="str">
        <x:v>2.3.2.1.1</x:v>
      </x:c>
      <x:c r="C168" s="7" t="str">
        <x:v>Compression cooling unit</x:v>
      </x:c>
      <x:c r="D168" s="8" t="n">
        <x:v>15</x:v>
      </x:c>
      <x:c r="E168" s="8" t="n">
        <x:v>2</x:v>
      </x:c>
      <x:c r="F168" s="8" t="n">
        <x:v>1.5</x:v>
      </x:c>
      <x:c r="G168" s="8" t="n">
        <x:f>IF(AND(ISNUMBER(E168),ISNUMBER(F168)),E168+F168,"")</x:f>
        <x:v>3.5</x:v>
      </x:c>
      <x:c r="H168" s="8" t="n">
        <x:v>1</x:v>
      </x:c>
      <x:c r="I168" s="9" t="n">
        <x:v>33</x:v>
      </x:c>
      <x:c r="J168" s="7" t="str"/>
    </x:row>
    <x:row r="169" ht="32" customHeight="1">
      <x:c r="A169" s="1" t="str">
        <x:v>A3</x:v>
      </x:c>
      <x:c r="B169" s="10" t="str">
        <x:v>2.3.2.1.2</x:v>
      </x:c>
      <x:c r="C169" s="7" t="str">
        <x:v>Absorption cooling unit</x:v>
      </x:c>
      <x:c r="D169" s="8" t="n">
        <x:v>18</x:v>
      </x:c>
      <x:c r="E169" s="8" t="n">
        <x:v>1.5</x:v>
      </x:c>
      <x:c r="F169" s="8" t="n">
        <x:v>1.5</x:v>
      </x:c>
      <x:c r="G169" s="8" t="n">
        <x:f>IF(AND(ISNUMBER(E169),ISNUMBER(F169)),E169+F169,"")</x:f>
        <x:v>3</x:v>
      </x:c>
      <x:c r="H169" s="8" t="n">
        <x:v>0</x:v>
      </x:c>
      <x:c r="I169" s="9" t="n">
        <x:v>33</x:v>
      </x:c>
      <x:c r="J169" s="7" t="str"/>
    </x:row>
    <x:row r="170" ht="32" customHeight="1">
      <x:c r="A170" s="1" t="str">
        <x:v>A3</x:v>
      </x:c>
      <x:c r="B170" s="10" t="str">
        <x:v>2.3.2.2</x:v>
      </x:c>
      <x:c r="C170" s="7" t="str">
        <x:v>Single direct evaporators</x:v>
      </x:c>
      <x:c r="D170" s="8" t="n">
        <x:v>12</x:v>
      </x:c>
      <x:c r="E170" s="8" t="n">
        <x:v>2</x:v>
      </x:c>
      <x:c r="F170" s="8" t="n">
        <x:v>2</x:v>
      </x:c>
      <x:c r="G170" s="8" t="n">
        <x:f>IF(AND(ISNUMBER(E170),ISNUMBER(F170)),E170+F170,"")</x:f>
        <x:v>4</x:v>
      </x:c>
      <x:c r="H170" s="8" t="n">
        <x:v>0</x:v>
      </x:c>
      <x:c r="I170" s="9" t="n">
        <x:v>33</x:v>
      </x:c>
      <x:c r="J170" s="7" t="str"/>
    </x:row>
    <x:row r="171" ht="32" customHeight="1">
      <x:c r="A171" s="1" t="str">
        <x:v>A3</x:v>
      </x:c>
      <x:c r="B171" s="10" t="str">
        <x:v>2.3.2.3</x:v>
      </x:c>
      <x:c r="C171" s="7" t="str">
        <x:v>Recooling plants</x:v>
      </x:c>
      <x:c r="D171" s="8" t="n">
        <x:v>20</x:v>
      </x:c>
      <x:c r="E171" s="8" t="n">
        <x:v>2</x:v>
      </x:c>
      <x:c r="F171" s="8" t="n">
        <x:v>1.5</x:v>
      </x:c>
      <x:c r="G171" s="8" t="n">
        <x:f>IF(AND(ISNUMBER(E171),ISNUMBER(F171)),E171+F171,"")</x:f>
        <x:v>3.5</x:v>
      </x:c>
      <x:c r="H171" s="8" t="n">
        <x:v>0</x:v>
      </x:c>
      <x:c r="I171" s="9" t="n">
        <x:v>33</x:v>
      </x:c>
      <x:c r="J171" s="7" t="str"/>
    </x:row>
    <x:row r="172" ht="32" customHeight="1">
      <x:c r="A172" s="1" t="str">
        <x:v>A3</x:v>
      </x:c>
      <x:c r="B172" s="10" t="str">
        <x:v>2.3.2.4</x:v>
      </x:c>
      <x:c r="C172" s="7" t="str">
        <x:v>Geothermal probes</x:v>
      </x:c>
      <x:c r="D172" s="8" t="n">
        <x:v>50</x:v>
      </x:c>
      <x:c r="E172" s="8" t="n">
        <x:v>2</x:v>
      </x:c>
      <x:c r="F172" s="8" t="n">
        <x:v>1</x:v>
      </x:c>
      <x:c r="G172" s="8" t="n">
        <x:f>IF(AND(ISNUMBER(E172),ISNUMBER(F172)),E172+F172,"")</x:f>
        <x:v>3</x:v>
      </x:c>
      <x:c r="H172" s="8" t="n">
        <x:v>0</x:v>
      </x:c>
      <x:c r="I172" s="9" t="n">
        <x:v>33</x:v>
      </x:c>
      <x:c r="J172" s="7" t="str"/>
    </x:row>
    <x:row r="173" ht="32" customHeight="1">
      <x:c r="A173" s="11" t="str">
        <x:v>A4</x:v>
      </x:c>
      <x:c r="B173" s="12" t="str">
        <x:v>3</x:v>
      </x:c>
      <x:c r="C173" s="13" t="str">
        <x:v>Heated domestic water</x:v>
      </x:c>
      <x:c r="D173" s="14"/>
      <x:c r="E173" s="14"/>
      <x:c r="F173" s="14"/>
      <x:c r="G173" s="14" t="str">
        <x:f>IF(AND(ISNUMBER(E173),ISNUMBER(F173)),E173+F173,"")</x:f>
      </x:c>
      <x:c r="H173" s="14"/>
      <x:c r="I173" s="15" t="n">
        <x:v>34</x:v>
      </x:c>
      <x:c r="J173" s="13" t="str">
        <x:v>Group or cross-reference; no separate numerical defaults</x:v>
      </x:c>
    </x:row>
    <x:row r="174" ht="32" customHeight="1">
      <x:c r="A174" s="11" t="str">
        <x:v>A4</x:v>
      </x:c>
      <x:c r="B174" s="12" t="str">
        <x:v>3.1</x:v>
      </x:c>
      <x:c r="C174" s="13" t="str">
        <x:v>Utility transfer</x:v>
      </x:c>
      <x:c r="D174" s="14"/>
      <x:c r="E174" s="14"/>
      <x:c r="F174" s="14"/>
      <x:c r="G174" s="14" t="str">
        <x:f>IF(AND(ISNUMBER(E174),ISNUMBER(F174)),E174+F174,"")</x:f>
      </x:c>
      <x:c r="H174" s="14"/>
      <x:c r="I174" s="15" t="n">
        <x:v>34</x:v>
      </x:c>
      <x:c r="J174" s="13" t="str">
        <x:v>Group or cross-reference; no separate numerical defaults</x:v>
      </x:c>
    </x:row>
    <x:row r="175" ht="32" customHeight="1">
      <x:c r="A175" s="11" t="str">
        <x:v>A4</x:v>
      </x:c>
      <x:c r="B175" s="12" t="str">
        <x:v>3.1.1</x:v>
      </x:c>
      <x:c r="C175" s="13" t="str">
        <x:v>Fixtures and fittings</x:v>
      </x:c>
      <x:c r="D175" s="14"/>
      <x:c r="E175" s="14"/>
      <x:c r="F175" s="14"/>
      <x:c r="G175" s="14" t="str">
        <x:f>IF(AND(ISNUMBER(E175),ISNUMBER(F175)),E175+F175,"")</x:f>
      </x:c>
      <x:c r="H175" s="14"/>
      <x:c r="I175" s="15" t="n">
        <x:v>34</x:v>
      </x:c>
      <x:c r="J175" s="13" t="str">
        <x:v>Group or cross-reference; no separate numerical defaults</x:v>
      </x:c>
    </x:row>
    <x:row r="176" ht="32" customHeight="1">
      <x:c r="A176" s="1" t="str">
        <x:v>A4</x:v>
      </x:c>
      <x:c r="B176" s="10" t="str">
        <x:v>3.1.1</x:v>
      </x:c>
      <x:c r="C176" s="7" t="str">
        <x:v>Fixtures and fittings / Shut-off and control valves</x:v>
      </x:c>
      <x:c r="D176" s="8" t="n">
        <x:v>15</x:v>
      </x:c>
      <x:c r="E176" s="8" t="n">
        <x:v>1</x:v>
      </x:c>
      <x:c r="F176" s="8" t="n">
        <x:v>1</x:v>
      </x:c>
      <x:c r="G176" s="8" t="n">
        <x:f>IF(AND(ISNUMBER(E176),ISNUMBER(F176)),E176+F176,"")</x:f>
        <x:v>2</x:v>
      </x:c>
      <x:c r="H176" s="8" t="n">
        <x:v>0</x:v>
      </x:c>
      <x:c r="I176" s="9" t="n">
        <x:v>34</x:v>
      </x:c>
      <x:c r="J176" s="7" t="str">
        <x:v>Unnumbered subtype: parent VDI number retained</x:v>
      </x:c>
    </x:row>
    <x:row r="177" ht="32" customHeight="1">
      <x:c r="A177" s="1" t="str">
        <x:v>A4</x:v>
      </x:c>
      <x:c r="B177" s="10" t="str">
        <x:v>3.1.1</x:v>
      </x:c>
      <x:c r="C177" s="7" t="str">
        <x:v>Fixtures and fittings / Draw-off taps</x:v>
      </x:c>
      <x:c r="D177" s="8" t="n">
        <x:v>10</x:v>
      </x:c>
      <x:c r="E177" s="8" t="n">
        <x:v>1</x:v>
      </x:c>
      <x:c r="F177" s="8" t="n">
        <x:v>1</x:v>
      </x:c>
      <x:c r="G177" s="8" t="n">
        <x:f>IF(AND(ISNUMBER(E177),ISNUMBER(F177)),E177+F177,"")</x:f>
        <x:v>2</x:v>
      </x:c>
      <x:c r="H177" s="8" t="n">
        <x:v>0</x:v>
      </x:c>
      <x:c r="I177" s="9" t="n">
        <x:v>34</x:v>
      </x:c>
      <x:c r="J177" s="7" t="str">
        <x:v>Unnumbered subtype: parent VDI number retained</x:v>
      </x:c>
    </x:row>
    <x:row r="178" ht="32" customHeight="1">
      <x:c r="A178" s="1" t="str">
        <x:v>A4</x:v>
      </x:c>
      <x:c r="B178" s="10" t="str">
        <x:v>3.1.1</x:v>
      </x:c>
      <x:c r="C178" s="7" t="str">
        <x:v>Fixtures and fittings / Safety valves</x:v>
      </x:c>
      <x:c r="D178" s="8" t="n">
        <x:v>15</x:v>
      </x:c>
      <x:c r="E178" s="8" t="n">
        <x:v>1</x:v>
      </x:c>
      <x:c r="F178" s="8" t="n">
        <x:v>2</x:v>
      </x:c>
      <x:c r="G178" s="8" t="n">
        <x:f>IF(AND(ISNUMBER(E178),ISNUMBER(F178)),E178+F178,"")</x:f>
        <x:v>3</x:v>
      </x:c>
      <x:c r="H178" s="8" t="n">
        <x:v>0</x:v>
      </x:c>
      <x:c r="I178" s="9" t="n">
        <x:v>34</x:v>
      </x:c>
      <x:c r="J178" s="7" t="str">
        <x:v>Unnumbered subtype: parent VDI number retained</x:v>
      </x:c>
    </x:row>
    <x:row r="179" ht="32" customHeight="1">
      <x:c r="A179" s="11" t="str">
        <x:v>A4</x:v>
      </x:c>
      <x:c r="B179" s="12" t="str">
        <x:v>3.1.2</x:v>
      </x:c>
      <x:c r="C179" s="13" t="str">
        <x:v>Piping</x:v>
      </x:c>
      <x:c r="D179" s="14"/>
      <x:c r="E179" s="14"/>
      <x:c r="F179" s="14"/>
      <x:c r="G179" s="14" t="str">
        <x:f>IF(AND(ISNUMBER(E179),ISNUMBER(F179)),E179+F179,"")</x:f>
      </x:c>
      <x:c r="H179" s="14"/>
      <x:c r="I179" s="15" t="n">
        <x:v>34</x:v>
      </x:c>
      <x:c r="J179" s="13" t="str">
        <x:v>Group or cross-reference; no separate numerical defaults</x:v>
      </x:c>
    </x:row>
    <x:row r="180" ht="32" customHeight="1">
      <x:c r="A180" s="1" t="str">
        <x:v>A4</x:v>
      </x:c>
      <x:c r="B180" s="10" t="str">
        <x:v>3.1.2</x:v>
      </x:c>
      <x:c r="C180" s="7" t="str">
        <x:v>Piping / Piping for cold domestic water</x:v>
      </x:c>
      <x:c r="D180" s="8" t="n">
        <x:v>40</x:v>
      </x:c>
      <x:c r="E180" s="8" t="n">
        <x:v>1</x:v>
      </x:c>
      <x:c r="F180" s="8" t="n">
        <x:v>0</x:v>
      </x:c>
      <x:c r="G180" s="8" t="n">
        <x:f>IF(AND(ISNUMBER(E180),ISNUMBER(F180)),E180+F180,"")</x:f>
        <x:v>1</x:v>
      </x:c>
      <x:c r="H180" s="8" t="n">
        <x:v>0</x:v>
      </x:c>
      <x:c r="I180" s="9" t="n">
        <x:v>34</x:v>
      </x:c>
      <x:c r="J180" s="7" t="str">
        <x:v>Unnumbered subtype: parent VDI number retained</x:v>
      </x:c>
    </x:row>
    <x:row r="181" ht="60" customHeight="1">
      <x:c r="A181" s="1" t="str">
        <x:v>A4</x:v>
      </x:c>
      <x:c r="B181" s="10" t="str">
        <x:v>3.1.2</x:v>
      </x:c>
      <x:c r="C181" s="7" t="str">
        <x:v>Piping / Piping for hot domestic water under favourable water conditions or with appropriate treatment</x:v>
      </x:c>
      <x:c r="D181" s="8" t="n">
        <x:v>30</x:v>
      </x:c>
      <x:c r="E181" s="8" t="n">
        <x:v>2</x:v>
      </x:c>
      <x:c r="F181" s="8" t="n">
        <x:v>0</x:v>
      </x:c>
      <x:c r="G181" s="8" t="n">
        <x:f>IF(AND(ISNUMBER(E181),ISNUMBER(F181)),E181+F181,"")</x:f>
        <x:v>2</x:v>
      </x:c>
      <x:c r="H181" s="8" t="n">
        <x:v>0</x:v>
      </x:c>
      <x:c r="I181" s="9" t="n">
        <x:v>34</x:v>
      </x:c>
      <x:c r="J181" s="7" t="str">
        <x:v>Unnumbered subtype: parent VDI number retained</x:v>
      </x:c>
    </x:row>
    <x:row r="182" ht="32" customHeight="1">
      <x:c r="A182" s="1" t="str">
        <x:v>A4</x:v>
      </x:c>
      <x:c r="B182" s="10" t="str">
        <x:v>3.1.2</x:v>
      </x:c>
      <x:c r="C182" s="7" t="str">
        <x:v>Piping / Piping for hot domestic water under unfavourable water conditions or without treatment</x:v>
      </x:c>
      <x:c r="D182" s="8" t="n">
        <x:v>15</x:v>
      </x:c>
      <x:c r="E182" s="8" t="n">
        <x:v>3</x:v>
      </x:c>
      <x:c r="F182" s="8" t="n">
        <x:v>0</x:v>
      </x:c>
      <x:c r="G182" s="8" t="n">
        <x:f>IF(AND(ISNUMBER(E182),ISNUMBER(F182)),E182+F182,"")</x:f>
        <x:v>3</x:v>
      </x:c>
      <x:c r="H182" s="8" t="n">
        <x:v>0</x:v>
      </x:c>
      <x:c r="I182" s="9" t="n">
        <x:v>34</x:v>
      </x:c>
      <x:c r="J182" s="7" t="str">
        <x:v>Unnumbered subtype: parent VDI number retained</x:v>
      </x:c>
    </x:row>
    <x:row r="183" ht="32" customHeight="1">
      <x:c r="A183" s="1" t="str">
        <x:v>A4</x:v>
      </x:c>
      <x:c r="B183" s="10" t="str">
        <x:v>3.1.3</x:v>
      </x:c>
      <x:c r="C183" s="7" t="str">
        <x:v>Thermal insulation of piping</x:v>
      </x:c>
      <x:c r="D183" s="8" t="n">
        <x:v>20</x:v>
      </x:c>
      <x:c r="E183" s="8" t="n">
        <x:v>1</x:v>
      </x:c>
      <x:c r="F183" s="8" t="n">
        <x:v>0</x:v>
      </x:c>
      <x:c r="G183" s="8" t="n">
        <x:f>IF(AND(ISNUMBER(E183),ISNUMBER(F183)),E183+F183,"")</x:f>
        <x:v>1</x:v>
      </x:c>
      <x:c r="H183" s="8" t="n">
        <x:v>0</x:v>
      </x:c>
      <x:c r="I183" s="9" t="n">
        <x:v>34</x:v>
      </x:c>
      <x:c r="J183" s="7" t="str"/>
    </x:row>
    <x:row r="184" ht="32" customHeight="1">
      <x:c r="A184" s="1" t="str">
        <x:v>A4</x:v>
      </x:c>
      <x:c r="B184" s="10" t="str">
        <x:v>3.1.4</x:v>
      </x:c>
      <x:c r="C184" s="7" t="str">
        <x:v>Measuring and control devices</x:v>
      </x:c>
      <x:c r="D184" s="8" t="n">
        <x:v>20</x:v>
      </x:c>
      <x:c r="E184" s="8" t="n">
        <x:v>1.5</x:v>
      </x:c>
      <x:c r="F184" s="8" t="n">
        <x:v>1.5</x:v>
      </x:c>
      <x:c r="G184" s="8" t="n">
        <x:f>IF(AND(ISNUMBER(E184),ISNUMBER(F184)),E184+F184,"")</x:f>
        <x:v>3</x:v>
      </x:c>
      <x:c r="H184" s="8" t="n">
        <x:v>0</x:v>
      </x:c>
      <x:c r="I184" s="9" t="n">
        <x:v>34</x:v>
      </x:c>
      <x:c r="J184" s="7" t="str"/>
    </x:row>
    <x:row r="185" ht="32" customHeight="1">
      <x:c r="A185" s="1" t="str">
        <x:v>A4</x:v>
      </x:c>
      <x:c r="B185" s="10" t="str">
        <x:v>3.1.5</x:v>
      </x:c>
      <x:c r="C185" s="7" t="str">
        <x:v>Pumps</x:v>
      </x:c>
      <x:c r="D185" s="8" t="n">
        <x:v>10</x:v>
      </x:c>
      <x:c r="E185" s="8" t="n">
        <x:v>2</x:v>
      </x:c>
      <x:c r="F185" s="8" t="n">
        <x:v>1</x:v>
      </x:c>
      <x:c r="G185" s="8" t="n">
        <x:f>IF(AND(ISNUMBER(E185),ISNUMBER(F185)),E185+F185,"")</x:f>
        <x:v>3</x:v>
      </x:c>
      <x:c r="H185" s="8" t="n">
        <x:v>0</x:v>
      </x:c>
      <x:c r="I185" s="9" t="n">
        <x:v>34</x:v>
      </x:c>
      <x:c r="J185" s="7" t="str"/>
    </x:row>
    <x:row r="186" ht="32" customHeight="1">
      <x:c r="A186" s="11" t="str">
        <x:v>A4</x:v>
      </x:c>
      <x:c r="B186" s="12" t="str">
        <x:v>3.1.6</x:v>
      </x:c>
      <x:c r="C186" s="13" t="str">
        <x:v>Decentralized heating of domestic water</x:v>
      </x:c>
      <x:c r="D186" s="14"/>
      <x:c r="E186" s="14"/>
      <x:c r="F186" s="14"/>
      <x:c r="G186" s="14" t="str">
        <x:f>IF(AND(ISNUMBER(E186),ISNUMBER(F186)),E186+F186,"")</x:f>
      </x:c>
      <x:c r="H186" s="14"/>
      <x:c r="I186" s="15" t="n">
        <x:v>34</x:v>
      </x:c>
      <x:c r="J186" s="13" t="str">
        <x:v>Group or cross-reference; no separate numerical defaults</x:v>
      </x:c>
    </x:row>
    <x:row r="187" ht="32" customHeight="1">
      <x:c r="A187" s="1" t="str">
        <x:v>A4</x:v>
      </x:c>
      <x:c r="B187" s="10" t="str">
        <x:v>3.1.6</x:v>
      </x:c>
      <x:c r="C187" s="7" t="str">
        <x:v>Decentralized heating of domestic water / Electronically controlled flow-through water heater</x:v>
      </x:c>
      <x:c r="D187" s="8" t="n">
        <x:v>15</x:v>
      </x:c>
      <x:c r="E187" s="8" t="n">
        <x:v>1</x:v>
      </x:c>
      <x:c r="F187" s="8" t="n">
        <x:v>1</x:v>
      </x:c>
      <x:c r="G187" s="8" t="n">
        <x:f>IF(AND(ISNUMBER(E187),ISNUMBER(F187)),E187+F187,"")</x:f>
        <x:v>2</x:v>
      </x:c>
      <x:c r="H187" s="8" t="n">
        <x:v>0</x:v>
      </x:c>
      <x:c r="I187" s="9" t="n">
        <x:v>34</x:v>
      </x:c>
      <x:c r="J187" s="7" t="str">
        <x:v>Unnumbered subtype: parent VDI number retained</x:v>
      </x:c>
    </x:row>
    <x:row r="188" ht="32" customHeight="1">
      <x:c r="A188" s="1" t="str">
        <x:v>A4</x:v>
      </x:c>
      <x:c r="B188" s="10" t="str">
        <x:v>3.1.6</x:v>
      </x:c>
      <x:c r="C188" s="7" t="str">
        <x:v>Decentralized heating of domestic water / Electrical flow-through water heater</x:v>
      </x:c>
      <x:c r="D188" s="8" t="n">
        <x:v>12</x:v>
      </x:c>
      <x:c r="E188" s="8" t="n">
        <x:v>1</x:v>
      </x:c>
      <x:c r="F188" s="8" t="n">
        <x:v>1</x:v>
      </x:c>
      <x:c r="G188" s="8" t="n">
        <x:f>IF(AND(ISNUMBER(E188),ISNUMBER(F188)),E188+F188,"")</x:f>
        <x:v>2</x:v>
      </x:c>
      <x:c r="H188" s="8" t="n">
        <x:v>0</x:v>
      </x:c>
      <x:c r="I188" s="9" t="n">
        <x:v>34</x:v>
      </x:c>
      <x:c r="J188" s="7" t="str">
        <x:v>Unnumbered subtype: parent VDI number retained</x:v>
      </x:c>
    </x:row>
    <x:row r="189" ht="32" customHeight="1">
      <x:c r="A189" s="1" t="str">
        <x:v>A4</x:v>
      </x:c>
      <x:c r="B189" s="10" t="str">
        <x:v>3.1.6</x:v>
      </x:c>
      <x:c r="C189" s="7" t="str">
        <x:v>Decentralized heating of domestic water / Electrical open storage heater, 5 l to 80 l</x:v>
      </x:c>
      <x:c r="D189" s="8" t="n">
        <x:v>15</x:v>
      </x:c>
      <x:c r="E189" s="8" t="n">
        <x:v>1</x:v>
      </x:c>
      <x:c r="F189" s="8" t="n">
        <x:v>1</x:v>
      </x:c>
      <x:c r="G189" s="8" t="n">
        <x:f>IF(AND(ISNUMBER(E189),ISNUMBER(F189)),E189+F189,"")</x:f>
        <x:v>2</x:v>
      </x:c>
      <x:c r="H189" s="8" t="n">
        <x:v>0</x:v>
      </x:c>
      <x:c r="I189" s="9" t="n">
        <x:v>34</x:v>
      </x:c>
      <x:c r="J189" s="7" t="str">
        <x:v>Unnumbered subtype: parent VDI number retained</x:v>
      </x:c>
    </x:row>
    <x:row r="190" ht="32" customHeight="1">
      <x:c r="A190" s="1" t="str">
        <x:v>A4</x:v>
      </x:c>
      <x:c r="B190" s="10" t="str">
        <x:v>3.1.6</x:v>
      </x:c>
      <x:c r="C190" s="7" t="str">
        <x:v>Decentralized heating of domestic water / Electrical closed storage heater</x:v>
      </x:c>
      <x:c r="D190" s="8" t="n">
        <x:v>20</x:v>
      </x:c>
      <x:c r="E190" s="8" t="n">
        <x:v>2</x:v>
      </x:c>
      <x:c r="F190" s="8" t="n">
        <x:v>1</x:v>
      </x:c>
      <x:c r="G190" s="8" t="n">
        <x:f>IF(AND(ISNUMBER(E190),ISNUMBER(F190)),E190+F190,"")</x:f>
        <x:v>3</x:v>
      </x:c>
      <x:c r="H190" s="8" t="n">
        <x:v>0</x:v>
      </x:c>
      <x:c r="I190" s="9" t="n">
        <x:v>34</x:v>
      </x:c>
      <x:c r="J190" s="7" t="str">
        <x:v>Unnumbered subtype: parent VDI number retained</x:v>
      </x:c>
    </x:row>
    <x:row r="191" ht="32" customHeight="1">
      <x:c r="A191" s="1" t="str">
        <x:v>A4</x:v>
      </x:c>
      <x:c r="B191" s="10" t="str">
        <x:v>3.1.6</x:v>
      </x:c>
      <x:c r="C191" s="7" t="str">
        <x:v>Decentralized heating of domestic water / Storage heater with external heating</x:v>
      </x:c>
      <x:c r="D191" s="8" t="n">
        <x:v>15</x:v>
      </x:c>
      <x:c r="E191" s="8" t="n">
        <x:v>2</x:v>
      </x:c>
      <x:c r="F191" s="8" t="n">
        <x:v>1</x:v>
      </x:c>
      <x:c r="G191" s="8" t="n">
        <x:f>IF(AND(ISNUMBER(E191),ISNUMBER(F191)),E191+F191,"")</x:f>
        <x:v>3</x:v>
      </x:c>
      <x:c r="H191" s="8" t="n">
        <x:v>0</x:v>
      </x:c>
      <x:c r="I191" s="9" t="n">
        <x:v>34</x:v>
      </x:c>
      <x:c r="J191" s="7" t="str">
        <x:v>Unnumbered subtype: parent VDI number retained</x:v>
      </x:c>
    </x:row>
    <x:row r="192" ht="32" customHeight="1">
      <x:c r="A192" s="1" t="str">
        <x:v>A4</x:v>
      </x:c>
      <x:c r="B192" s="10" t="str">
        <x:v>3.1.6</x:v>
      </x:c>
      <x:c r="C192" s="7" t="str">
        <x:v>Decentralized heating of domestic water / Gas flow-through water heater</x:v>
      </x:c>
      <x:c r="D192" s="8" t="n">
        <x:v>12</x:v>
      </x:c>
      <x:c r="E192" s="8" t="n">
        <x:v>4</x:v>
      </x:c>
      <x:c r="F192" s="8" t="n">
        <x:v>1</x:v>
      </x:c>
      <x:c r="G192" s="8" t="n">
        <x:f>IF(AND(ISNUMBER(E192),ISNUMBER(F192)),E192+F192,"")</x:f>
        <x:v>5</x:v>
      </x:c>
      <x:c r="H192" s="8" t="n">
        <x:v>0</x:v>
      </x:c>
      <x:c r="I192" s="9" t="n">
        <x:v>34</x:v>
      </x:c>
      <x:c r="J192" s="7" t="str">
        <x:v>Unnumbered subtype: parent VDI number retained</x:v>
      </x:c>
    </x:row>
    <x:row r="193" ht="32" customHeight="1">
      <x:c r="A193" s="1" t="str">
        <x:v>A4</x:v>
      </x:c>
      <x:c r="B193" s="10" t="str">
        <x:v>3.1.6</x:v>
      </x:c>
      <x:c r="C193" s="7" t="str">
        <x:v>Decentralized heating of domestic water / Gas storage water heater</x:v>
      </x:c>
      <x:c r="D193" s="8" t="n">
        <x:v>20</x:v>
      </x:c>
      <x:c r="E193" s="8" t="n">
        <x:v>2</x:v>
      </x:c>
      <x:c r="F193" s="8" t="n">
        <x:v>1</x:v>
      </x:c>
      <x:c r="G193" s="8" t="n">
        <x:f>IF(AND(ISNUMBER(E193),ISNUMBER(F193)),E193+F193,"")</x:f>
        <x:v>3</x:v>
      </x:c>
      <x:c r="H193" s="8" t="n">
        <x:v>0</x:v>
      </x:c>
      <x:c r="I193" s="9" t="n">
        <x:v>34</x:v>
      </x:c>
      <x:c r="J193" s="7" t="str">
        <x:v>Unnumbered subtype: parent VDI number retained</x:v>
      </x:c>
    </x:row>
    <x:row r="194" ht="32" customHeight="1">
      <x:c r="A194" s="11" t="str">
        <x:v>A4</x:v>
      </x:c>
      <x:c r="B194" s="12" t="str">
        <x:v>3.2</x:v>
      </x:c>
      <x:c r="C194" s="13" t="str">
        <x:v>Distribution</x:v>
      </x:c>
      <x:c r="D194" s="14"/>
      <x:c r="E194" s="14"/>
      <x:c r="F194" s="14"/>
      <x:c r="G194" s="14" t="str">
        <x:f>IF(AND(ISNUMBER(E194),ISNUMBER(F194)),E194+F194,"")</x:f>
      </x:c>
      <x:c r="H194" s="14"/>
      <x:c r="I194" s="15" t="n">
        <x:v>34</x:v>
      </x:c>
      <x:c r="J194" s="13" t="str">
        <x:v>Group or cross-reference; no separate numerical defaults</x:v>
      </x:c>
    </x:row>
    <x:row r="195" ht="32" customHeight="1">
      <x:c r="A195" s="11" t="str">
        <x:v>A4</x:v>
      </x:c>
      <x:c r="B195" s="12" t="str">
        <x:v>3.2.1</x:v>
      </x:c>
      <x:c r="C195" s="13" t="str">
        <x:v>Heating water, see heating</x:v>
      </x:c>
      <x:c r="D195" s="14"/>
      <x:c r="E195" s="14"/>
      <x:c r="F195" s="14"/>
      <x:c r="G195" s="14" t="str">
        <x:f>IF(AND(ISNUMBER(E195),ISNUMBER(F195)),E195+F195,"")</x:f>
      </x:c>
      <x:c r="H195" s="14"/>
      <x:c r="I195" s="15" t="n">
        <x:v>34</x:v>
      </x:c>
      <x:c r="J195" s="13" t="str">
        <x:v>Group or cross-reference; no separate numerical defaults</x:v>
      </x:c>
    </x:row>
    <x:row r="196" ht="32" customHeight="1">
      <x:c r="A196" s="11" t="str">
        <x:v>A4</x:v>
      </x:c>
      <x:c r="B196" s="12" t="str">
        <x:v>3.3</x:v>
      </x:c>
      <x:c r="C196" s="13" t="str">
        <x:v>Generation</x:v>
      </x:c>
      <x:c r="D196" s="14"/>
      <x:c r="E196" s="14"/>
      <x:c r="F196" s="14"/>
      <x:c r="G196" s="14" t="str">
        <x:f>IF(AND(ISNUMBER(E196),ISNUMBER(F196)),E196+F196,"")</x:f>
      </x:c>
      <x:c r="H196" s="14"/>
      <x:c r="I196" s="15" t="n">
        <x:v>34</x:v>
      </x:c>
      <x:c r="J196" s="13" t="str">
        <x:v>Group or cross-reference; no separate numerical defaults</x:v>
      </x:c>
    </x:row>
    <x:row r="197" ht="32" customHeight="1">
      <x:c r="A197" s="11" t="str">
        <x:v>A4</x:v>
      </x:c>
      <x:c r="B197" s="12" t="str">
        <x:v>3.3.1</x:v>
      </x:c>
      <x:c r="C197" s="13" t="str">
        <x:v>Heat generator, see heating</x:v>
      </x:c>
      <x:c r="D197" s="14"/>
      <x:c r="E197" s="14"/>
      <x:c r="F197" s="14"/>
      <x:c r="G197" s="14" t="str">
        <x:f>IF(AND(ISNUMBER(E197),ISNUMBER(F197)),E197+F197,"")</x:f>
      </x:c>
      <x:c r="H197" s="14"/>
      <x:c r="I197" s="15" t="n">
        <x:v>34</x:v>
      </x:c>
      <x:c r="J197" s="13" t="str">
        <x:v>Group or cross-reference; no separate numerical defaults</x:v>
      </x:c>
    </x:row>
    <x:row r="198" ht="32" customHeight="1">
      <x:c r="A198" s="11" t="str">
        <x:v>A4</x:v>
      </x:c>
      <x:c r="B198" s="12" t="str">
        <x:v>3.3.2</x:v>
      </x:c>
      <x:c r="C198" s="13" t="str">
        <x:v>Centralized heating of domestic water</x:v>
      </x:c>
      <x:c r="D198" s="14"/>
      <x:c r="E198" s="14"/>
      <x:c r="F198" s="14"/>
      <x:c r="G198" s="14" t="str">
        <x:f>IF(AND(ISNUMBER(E198),ISNUMBER(F198)),E198+F198,"")</x:f>
      </x:c>
      <x:c r="H198" s="14"/>
      <x:c r="I198" s="15" t="n">
        <x:v>34</x:v>
      </x:c>
      <x:c r="J198" s="13" t="str">
        <x:v>Group or cross-reference; no separate numerical defaults</x:v>
      </x:c>
    </x:row>
    <x:row r="199" ht="32" customHeight="1">
      <x:c r="A199" s="1" t="str">
        <x:v>A4</x:v>
      </x:c>
      <x:c r="B199" s="10" t="str">
        <x:v>3.3.2</x:v>
      </x:c>
      <x:c r="C199" s="7" t="str">
        <x:v>Centralized heating of domestic water / Storage heater</x:v>
      </x:c>
      <x:c r="D199" s="8" t="n">
        <x:v>20</x:v>
      </x:c>
      <x:c r="E199" s="8" t="n">
        <x:v>1</x:v>
      </x:c>
      <x:c r="F199" s="8" t="n">
        <x:v>1</x:v>
      </x:c>
      <x:c r="G199" s="8" t="n">
        <x:f>IF(AND(ISNUMBER(E199),ISNUMBER(F199)),E199+F199,"")</x:f>
        <x:v>2</x:v>
      </x:c>
      <x:c r="H199" s="8" t="n">
        <x:v>0</x:v>
      </x:c>
      <x:c r="I199" s="9" t="n">
        <x:v>34</x:v>
      </x:c>
      <x:c r="J199" s="7" t="str">
        <x:v>Unnumbered subtype: parent VDI number retained</x:v>
      </x:c>
    </x:row>
    <x:row r="200" ht="32" customHeight="1">
      <x:c r="A200" s="1" t="str">
        <x:v>A4</x:v>
      </x:c>
      <x:c r="B200" s="10" t="str">
        <x:v>3.3.2</x:v>
      </x:c>
      <x:c r="C200" s="7" t="str">
        <x:v>Centralized heating of domestic water / Flow-through heater</x:v>
      </x:c>
      <x:c r="D200" s="8" t="n">
        <x:v>18</x:v>
      </x:c>
      <x:c r="E200" s="8" t="n">
        <x:v>1</x:v>
      </x:c>
      <x:c r="F200" s="8" t="n">
        <x:v>1</x:v>
      </x:c>
      <x:c r="G200" s="8" t="n">
        <x:f>IF(AND(ISNUMBER(E200),ISNUMBER(F200)),E200+F200,"")</x:f>
        <x:v>2</x:v>
      </x:c>
      <x:c r="H200" s="8" t="n">
        <x:v>0</x:v>
      </x:c>
      <x:c r="I200" s="9" t="n">
        <x:v>34</x:v>
      </x:c>
      <x:c r="J200" s="7" t="str">
        <x:v>Unnumbered subtype: parent VDI number retained</x:v>
      </x:c>
    </x:row>
    <x:row r="201" ht="32" customHeight="1">
      <x:c r="A201" s="1" t="str">
        <x:v>A4</x:v>
      </x:c>
      <x:c r="B201" s="10" t="str">
        <x:v>3.3.3</x:v>
      </x:c>
      <x:c r="C201" s="7" t="str">
        <x:v>Water treatment system</x:v>
      </x:c>
      <x:c r="D201" s="8" t="n">
        <x:v>15</x:v>
      </x:c>
      <x:c r="E201" s="8" t="n">
        <x:v>1</x:v>
      </x:c>
      <x:c r="F201" s="8" t="n">
        <x:v>2</x:v>
      </x:c>
      <x:c r="G201" s="8" t="n">
        <x:f>IF(AND(ISNUMBER(E201),ISNUMBER(F201)),E201+F201,"")</x:f>
        <x:v>3</x:v>
      </x:c>
      <x:c r="H201" s="8" t="n">
        <x:v>1</x:v>
      </x:c>
      <x:c r="I201" s="9" t="n">
        <x:v>34</x:v>
      </x:c>
      <x:c r="J201" s="7" t="str"/>
    </x:row>
    <x:row r="202" ht="32" customHeight="1">
      <x:c r="A202" s="11" t="str">
        <x:v>A5</x:v>
      </x:c>
      <x:c r="B202" s="12" t="str">
        <x:v>6</x:v>
      </x:c>
      <x:c r="C202" s="13" t="str">
        <x:v>Building automation</x:v>
      </x:c>
      <x:c r="D202" s="14"/>
      <x:c r="E202" s="14"/>
      <x:c r="F202" s="14"/>
      <x:c r="G202" s="14" t="str">
        <x:f>IF(AND(ISNUMBER(E202),ISNUMBER(F202)),E202+F202,"")</x:f>
      </x:c>
      <x:c r="H202" s="14"/>
      <x:c r="I202" s="15" t="n">
        <x:v>35</x:v>
      </x:c>
      <x:c r="J202" s="13" t="str">
        <x:v>Group or cross-reference; no separate numerical defaults</x:v>
      </x:c>
    </x:row>
    <x:row r="203" ht="32" customHeight="1">
      <x:c r="A203" s="11" t="str">
        <x:v>A5</x:v>
      </x:c>
      <x:c r="B203" s="12" t="str">
        <x:v>6.1</x:v>
      </x:c>
      <x:c r="C203" s="13" t="str">
        <x:v>Utility transfer</x:v>
      </x:c>
      <x:c r="D203" s="14"/>
      <x:c r="E203" s="14"/>
      <x:c r="F203" s="14"/>
      <x:c r="G203" s="14" t="str">
        <x:f>IF(AND(ISNUMBER(E203),ISNUMBER(F203)),E203+F203,"")</x:f>
      </x:c>
      <x:c r="H203" s="14"/>
      <x:c r="I203" s="15" t="n">
        <x:v>35</x:v>
      </x:c>
      <x:c r="J203" s="13" t="str">
        <x:v>Group or cross-reference; no separate numerical defaults</x:v>
      </x:c>
    </x:row>
    <x:row r="204" ht="32" customHeight="1">
      <x:c r="A204" s="11" t="str">
        <x:v>A5</x:v>
      </x:c>
      <x:c r="B204" s="12" t="str">
        <x:v>6.1.1</x:v>
      </x:c>
      <x:c r="C204" s="13" t="str">
        <x:v>Control elements</x:v>
      </x:c>
      <x:c r="D204" s="14"/>
      <x:c r="E204" s="14"/>
      <x:c r="F204" s="14"/>
      <x:c r="G204" s="14" t="str">
        <x:f>IF(AND(ISNUMBER(E204),ISNUMBER(F204)),E204+F204,"")</x:f>
      </x:c>
      <x:c r="H204" s="14"/>
      <x:c r="I204" s="15" t="n">
        <x:v>35</x:v>
      </x:c>
      <x:c r="J204" s="13" t="str">
        <x:v>Group or cross-reference; no separate numerical defaults</x:v>
      </x:c>
    </x:row>
    <x:row r="205" ht="32" customHeight="1">
      <x:c r="A205" s="1" t="str">
        <x:v>A5</x:v>
      </x:c>
      <x:c r="B205" s="10" t="str">
        <x:v>6.1.1</x:v>
      </x:c>
      <x:c r="C205" s="7" t="str">
        <x:v>Control elements / Control valves, taps, flaps</x:v>
      </x:c>
      <x:c r="D205" s="8" t="n">
        <x:v>10</x:v>
      </x:c>
      <x:c r="E205" s="8" t="n">
        <x:v>10</x:v>
      </x:c>
      <x:c r="F205" s="8" t="n">
        <x:v>2</x:v>
      </x:c>
      <x:c r="G205" s="8" t="n">
        <x:f>IF(AND(ISNUMBER(E205),ISNUMBER(F205)),E205+F205,"")</x:f>
        <x:v>12</x:v>
      </x:c>
      <x:c r="H205" s="8" t="n">
        <x:v>0</x:v>
      </x:c>
      <x:c r="I205" s="9" t="n">
        <x:v>35</x:v>
      </x:c>
      <x:c r="J205" s="7" t="str">
        <x:v>Unnumbered subtype: parent VDI number retained</x:v>
      </x:c>
    </x:row>
    <x:row r="206" ht="32" customHeight="1">
      <x:c r="A206" s="1" t="str">
        <x:v>A5</x:v>
      </x:c>
      <x:c r="B206" s="10" t="str">
        <x:v>6.1.1</x:v>
      </x:c>
      <x:c r="C206" s="7" t="str">
        <x:v>Control elements / Louvre drives</x:v>
      </x:c>
      <x:c r="D206" s="8" t="n">
        <x:v>10</x:v>
      </x:c>
      <x:c r="E206" s="8" t="n">
        <x:v>10</x:v>
      </x:c>
      <x:c r="F206" s="8" t="n">
        <x:v>1</x:v>
      </x:c>
      <x:c r="G206" s="8" t="n">
        <x:f>IF(AND(ISNUMBER(E206),ISNUMBER(F206)),E206+F206,"")</x:f>
        <x:v>11</x:v>
      </x:c>
      <x:c r="H206" s="8" t="n">
        <x:v>0</x:v>
      </x:c>
      <x:c r="I206" s="9" t="n">
        <x:v>35</x:v>
      </x:c>
      <x:c r="J206" s="7" t="str">
        <x:v>Unnumbered subtype: parent VDI number retained</x:v>
      </x:c>
    </x:row>
    <x:row r="207" ht="32" customHeight="1">
      <x:c r="A207" s="1" t="str">
        <x:v>A5</x:v>
      </x:c>
      <x:c r="B207" s="10" t="str">
        <x:v>6.1.1</x:v>
      </x:c>
      <x:c r="C207" s="7" t="str">
        <x:v>Control elements / Fire damper drives</x:v>
      </x:c>
      <x:c r="D207" s="8" t="n">
        <x:v>10</x:v>
      </x:c>
      <x:c r="E207" s="8" t="n">
        <x:v>10</x:v>
      </x:c>
      <x:c r="F207" s="8" t="n">
        <x:v>5</x:v>
      </x:c>
      <x:c r="G207" s="8" t="n">
        <x:f>IF(AND(ISNUMBER(E207),ISNUMBER(F207)),E207+F207,"")</x:f>
        <x:v>15</x:v>
      </x:c>
      <x:c r="H207" s="8" t="n">
        <x:v>0.1</x:v>
      </x:c>
      <x:c r="I207" s="9" t="n">
        <x:v>35</x:v>
      </x:c>
      <x:c r="J207" s="7" t="str">
        <x:v>Unnumbered subtype: parent VDI number retained</x:v>
      </x:c>
    </x:row>
    <x:row r="208" ht="32" customHeight="1">
      <x:c r="A208" s="1" t="str">
        <x:v>A5</x:v>
      </x:c>
      <x:c r="B208" s="10" t="str">
        <x:v>6.1.1</x:v>
      </x:c>
      <x:c r="C208" s="7" t="str">
        <x:v>Control elements / Frequency converters</x:v>
      </x:c>
      <x:c r="D208" s="8" t="n">
        <x:v>5</x:v>
      </x:c>
      <x:c r="E208" s="8" t="n">
        <x:v>20</x:v>
      </x:c>
      <x:c r="F208" s="8" t="n">
        <x:v>5</x:v>
      </x:c>
      <x:c r="G208" s="8" t="n">
        <x:f>IF(AND(ISNUMBER(E208),ISNUMBER(F208)),E208+F208,"")</x:f>
        <x:v>25</x:v>
      </x:c>
      <x:c r="H208" s="8" t="n">
        <x:v>1</x:v>
      </x:c>
      <x:c r="I208" s="9" t="n">
        <x:v>35</x:v>
      </x:c>
      <x:c r="J208" s="7" t="str">
        <x:v>Unnumbered subtype: parent VDI number retained</x:v>
      </x:c>
    </x:row>
    <x:row r="209" ht="32" customHeight="1">
      <x:c r="A209" s="11" t="str">
        <x:v>A5</x:v>
      </x:c>
      <x:c r="B209" s="12" t="str">
        <x:v>6.1.2</x:v>
      </x:c>
      <x:c r="C209" s="13" t="str">
        <x:v>Sensors</x:v>
      </x:c>
      <x:c r="D209" s="14"/>
      <x:c r="E209" s="14"/>
      <x:c r="F209" s="14"/>
      <x:c r="G209" s="14" t="str">
        <x:f>IF(AND(ISNUMBER(E209),ISNUMBER(F209)),E209+F209,"")</x:f>
      </x:c>
      <x:c r="H209" s="14"/>
      <x:c r="I209" s="15" t="n">
        <x:v>35</x:v>
      </x:c>
      <x:c r="J209" s="13" t="str">
        <x:v>Group or cross-reference; no separate numerical defaults</x:v>
      </x:c>
    </x:row>
    <x:row r="210" ht="32" customHeight="1">
      <x:c r="A210" s="1" t="str">
        <x:v>A5</x:v>
      </x:c>
      <x:c r="B210" s="10" t="str">
        <x:v>6.1.2.1</x:v>
      </x:c>
      <x:c r="C210" s="7" t="str">
        <x:v>Measurement transducers (temperature, humidity, pressure, other)</x:v>
      </x:c>
      <x:c r="D210" s="8" t="n">
        <x:v>10</x:v>
      </x:c>
      <x:c r="E210" s="8" t="n">
        <x:v>10</x:v>
      </x:c>
      <x:c r="F210" s="8" t="n">
        <x:v>2</x:v>
      </x:c>
      <x:c r="G210" s="8" t="n">
        <x:f>IF(AND(ISNUMBER(E210),ISNUMBER(F210)),E210+F210,"")</x:f>
        <x:v>12</x:v>
      </x:c>
      <x:c r="H210" s="8" t="n">
        <x:v>0</x:v>
      </x:c>
      <x:c r="I210" s="9" t="n">
        <x:v>35</x:v>
      </x:c>
      <x:c r="J210" s="7" t="str"/>
    </x:row>
    <x:row r="211" ht="32" customHeight="1">
      <x:c r="A211" s="1" t="str">
        <x:v>A5</x:v>
      </x:c>
      <x:c r="B211" s="10" t="str">
        <x:v>6.1.2.2</x:v>
      </x:c>
      <x:c r="C211" s="7" t="str">
        <x:v>Contact encoder (temperature, humidity, pressure, other)</x:v>
      </x:c>
      <x:c r="D211" s="8" t="n">
        <x:v>10</x:v>
      </x:c>
      <x:c r="E211" s="8" t="n">
        <x:v>10</x:v>
      </x:c>
      <x:c r="F211" s="8" t="n">
        <x:v>2</x:v>
      </x:c>
      <x:c r="G211" s="8" t="n">
        <x:f>IF(AND(ISNUMBER(E211),ISNUMBER(F211)),E211+F211,"")</x:f>
        <x:v>12</x:v>
      </x:c>
      <x:c r="H211" s="8" t="n">
        <x:v>0</x:v>
      </x:c>
      <x:c r="I211" s="9" t="n">
        <x:v>35</x:v>
      </x:c>
      <x:c r="J211" s="7" t="str"/>
    </x:row>
    <x:row r="212" ht="32" customHeight="1">
      <x:c r="A212" s="1" t="str">
        <x:v>A5</x:v>
      </x:c>
      <x:c r="B212" s="10" t="str">
        <x:v>6.1.2.3</x:v>
      </x:c>
      <x:c r="C212" s="7" t="str">
        <x:v>Safety limiters (monitors for temperature, humidity, pressure, other monitoring devices)</x:v>
      </x:c>
      <x:c r="D212" s="8" t="n">
        <x:v>5</x:v>
      </x:c>
      <x:c r="E212" s="8" t="n">
        <x:v>20</x:v>
      </x:c>
      <x:c r="F212" s="8" t="n">
        <x:v>5</x:v>
      </x:c>
      <x:c r="G212" s="8" t="n">
        <x:f>IF(AND(ISNUMBER(E212),ISNUMBER(F212)),E212+F212,"")</x:f>
        <x:v>25</x:v>
      </x:c>
      <x:c r="H212" s="8" t="n">
        <x:v>0.5</x:v>
      </x:c>
      <x:c r="I212" s="9" t="n">
        <x:v>35</x:v>
      </x:c>
      <x:c r="J212" s="7" t="str"/>
    </x:row>
    <x:row r="213" ht="32" customHeight="1">
      <x:c r="A213" s="11" t="str">
        <x:v>A5</x:v>
      </x:c>
      <x:c r="B213" s="12" t="str">
        <x:v>6.1.3</x:v>
      </x:c>
      <x:c r="C213" s="13" t="str">
        <x:v>Field cabling</x:v>
      </x:c>
      <x:c r="D213" s="14"/>
      <x:c r="E213" s="14"/>
      <x:c r="F213" s="14"/>
      <x:c r="G213" s="14" t="str">
        <x:f>IF(AND(ISNUMBER(E213),ISNUMBER(F213)),E213+F213,"")</x:f>
      </x:c>
      <x:c r="H213" s="14"/>
      <x:c r="I213" s="15" t="n">
        <x:v>35</x:v>
      </x:c>
      <x:c r="J213" s="13" t="str">
        <x:v>Group or cross-reference; no separate numerical defaults</x:v>
      </x:c>
    </x:row>
    <x:row r="214" ht="32" customHeight="1">
      <x:c r="A214" s="1" t="str">
        <x:v>A5</x:v>
      </x:c>
      <x:c r="B214" s="10" t="str">
        <x:v>6.1.3.1</x:v>
      </x:c>
      <x:c r="C214" s="7" t="str">
        <x:v>High-voltage wiring/cabling</x:v>
      </x:c>
      <x:c r="D214" s="8" t="n">
        <x:v>15</x:v>
      </x:c>
      <x:c r="E214" s="8" t="n">
        <x:v>10</x:v>
      </x:c>
      <x:c r="F214" s="8" t="n">
        <x:v>0</x:v>
      </x:c>
      <x:c r="G214" s="8" t="n">
        <x:f>IF(AND(ISNUMBER(E214),ISNUMBER(F214)),E214+F214,"")</x:f>
        <x:v>10</x:v>
      </x:c>
      <x:c r="H214" s="8" t="n">
        <x:v>0</x:v>
      </x:c>
      <x:c r="I214" s="9" t="n">
        <x:v>35</x:v>
      </x:c>
      <x:c r="J214" s="7" t="str"/>
    </x:row>
    <x:row r="215" ht="32" customHeight="1">
      <x:c r="A215" s="1" t="str">
        <x:v>A5</x:v>
      </x:c>
      <x:c r="B215" s="10" t="str">
        <x:v>6.1.3.2</x:v>
      </x:c>
      <x:c r="C215" s="7" t="str">
        <x:v>Low-voltage wiring/cabling</x:v>
      </x:c>
      <x:c r="D215" s="8" t="n">
        <x:v>15</x:v>
      </x:c>
      <x:c r="E215" s="8" t="n">
        <x:v>10</x:v>
      </x:c>
      <x:c r="F215" s="8" t="n">
        <x:v>0</x:v>
      </x:c>
      <x:c r="G215" s="8" t="n">
        <x:f>IF(AND(ISNUMBER(E215),ISNUMBER(F215)),E215+F215,"")</x:f>
        <x:v>10</x:v>
      </x:c>
      <x:c r="H215" s="8" t="n">
        <x:v>0</x:v>
      </x:c>
      <x:c r="I215" s="9" t="n">
        <x:v>35</x:v>
      </x:c>
      <x:c r="J215" s="7" t="str"/>
    </x:row>
    <x:row r="216" ht="32" customHeight="1">
      <x:c r="A216" s="1" t="str">
        <x:v>A5</x:v>
      </x:c>
      <x:c r="B216" s="10" t="str">
        <x:v>6.1.3.3</x:v>
      </x:c>
      <x:c r="C216" s="7" t="str">
        <x:v>Bus bars/cabling</x:v>
      </x:c>
      <x:c r="D216" s="8" t="n">
        <x:v>10</x:v>
      </x:c>
      <x:c r="E216" s="8" t="n">
        <x:v>15</x:v>
      </x:c>
      <x:c r="F216" s="8" t="n">
        <x:v>0</x:v>
      </x:c>
      <x:c r="G216" s="8" t="n">
        <x:f>IF(AND(ISNUMBER(E216),ISNUMBER(F216)),E216+F216,"")</x:f>
        <x:v>15</x:v>
      </x:c>
      <x:c r="H216" s="8" t="n">
        <x:v>0</x:v>
      </x:c>
      <x:c r="I216" s="9" t="n">
        <x:v>35</x:v>
      </x:c>
      <x:c r="J216" s="7" t="str"/>
    </x:row>
    <x:row r="217" ht="32" customHeight="1">
      <x:c r="A217" s="1" t="str">
        <x:v>A5</x:v>
      </x:c>
      <x:c r="B217" s="10" t="str">
        <x:v>6.1.3.4</x:v>
      </x:c>
      <x:c r="C217" s="7" t="str">
        <x:v>Pneumatic systems (pressure reduction, filters, drying)</x:v>
      </x:c>
      <x:c r="D217" s="8" t="n">
        <x:v>10</x:v>
      </x:c>
      <x:c r="E217" s="8" t="n">
        <x:v>10</x:v>
      </x:c>
      <x:c r="F217" s="8" t="n">
        <x:v>5</x:v>
      </x:c>
      <x:c r="G217" s="8" t="n">
        <x:f>IF(AND(ISNUMBER(E217),ISNUMBER(F217)),E217+F217,"")</x:f>
        <x:v>15</x:v>
      </x:c>
      <x:c r="H217" s="8" t="n">
        <x:v>2</x:v>
      </x:c>
      <x:c r="I217" s="9" t="n">
        <x:v>35</x:v>
      </x:c>
      <x:c r="J217" s="7" t="str"/>
    </x:row>
    <x:row r="218" ht="32" customHeight="1">
      <x:c r="A218" s="11" t="str">
        <x:v>A5</x:v>
      </x:c>
      <x:c r="B218" s="12" t="str">
        <x:v>6.2</x:v>
      </x:c>
      <x:c r="C218" s="13" t="str">
        <x:v>Distribution</x:v>
      </x:c>
      <x:c r="D218" s="14"/>
      <x:c r="E218" s="14"/>
      <x:c r="F218" s="14"/>
      <x:c r="G218" s="14" t="str">
        <x:f>IF(AND(ISNUMBER(E218),ISNUMBER(F218)),E218+F218,"")</x:f>
      </x:c>
      <x:c r="H218" s="14"/>
      <x:c r="I218" s="15" t="n">
        <x:v>35</x:v>
      </x:c>
      <x:c r="J218" s="13" t="str">
        <x:v>Group or cross-reference; no separate numerical defaults</x:v>
      </x:c>
    </x:row>
    <x:row r="219" ht="32" customHeight="1">
      <x:c r="A219" s="11" t="str">
        <x:v>A5</x:v>
      </x:c>
      <x:c r="B219" s="12" t="str">
        <x:v>6.2.1</x:v>
      </x:c>
      <x:c r="C219" s="13" t="str">
        <x:v>Switch cabinets, panels</x:v>
      </x:c>
      <x:c r="D219" s="14"/>
      <x:c r="E219" s="14"/>
      <x:c r="F219" s="14"/>
      <x:c r="G219" s="14" t="str">
        <x:f>IF(AND(ISNUMBER(E219),ISNUMBER(F219)),E219+F219,"")</x:f>
      </x:c>
      <x:c r="H219" s="14"/>
      <x:c r="I219" s="15" t="n">
        <x:v>35</x:v>
      </x:c>
      <x:c r="J219" s="13" t="str">
        <x:v>Group or cross-reference; no separate numerical defaults</x:v>
      </x:c>
    </x:row>
    <x:row r="220" ht="32" customHeight="1">
      <x:c r="A220" s="1" t="str">
        <x:v>A5</x:v>
      </x:c>
      <x:c r="B220" s="10" t="str">
        <x:v>6.2.1.1</x:v>
      </x:c>
      <x:c r="C220" s="7" t="str">
        <x:v>Control units</x:v>
      </x:c>
      <x:c r="D220" s="8" t="n">
        <x:v>10</x:v>
      </x:c>
      <x:c r="E220" s="8" t="n">
        <x:v>10</x:v>
      </x:c>
      <x:c r="F220" s="8" t="n">
        <x:v>5</x:v>
      </x:c>
      <x:c r="G220" s="8" t="n">
        <x:f>IF(AND(ISNUMBER(E220),ISNUMBER(F220)),E220+F220,"")</x:f>
        <x:v>15</x:v>
      </x:c>
      <x:c r="H220" s="8" t="n">
        <x:v>0.2</x:v>
      </x:c>
      <x:c r="I220" s="9" t="n">
        <x:v>35</x:v>
      </x:c>
      <x:c r="J220" s="7" t="str"/>
    </x:row>
    <x:row r="221" ht="32" customHeight="1">
      <x:c r="A221" s="1" t="str">
        <x:v>A5</x:v>
      </x:c>
      <x:c r="B221" s="10" t="str">
        <x:v>6.2.1.2</x:v>
      </x:c>
      <x:c r="C221" s="7" t="str">
        <x:v>UPS (uninterruptible power supply) installations</x:v>
      </x:c>
      <x:c r="D221" s="8" t="n">
        <x:v>5</x:v>
      </x:c>
      <x:c r="E221" s="8" t="n">
        <x:v>20</x:v>
      </x:c>
      <x:c r="F221" s="8" t="n">
        <x:v>5</x:v>
      </x:c>
      <x:c r="G221" s="8" t="n">
        <x:f>IF(AND(ISNUMBER(E221),ISNUMBER(F221)),E221+F221,"")</x:f>
        <x:v>25</x:v>
      </x:c>
      <x:c r="H221" s="8" t="n">
        <x:v>1</x:v>
      </x:c>
      <x:c r="I221" s="9" t="n">
        <x:v>35</x:v>
      </x:c>
      <x:c r="J221" s="7" t="str"/>
    </x:row>
    <x:row r="222" ht="32" customHeight="1">
      <x:c r="A222" s="1" t="str">
        <x:v>A5</x:v>
      </x:c>
      <x:c r="B222" s="10" t="str">
        <x:v>6.2.1.3</x:v>
      </x:c>
      <x:c r="C222" s="7" t="str">
        <x:v>Optimization devices</x:v>
      </x:c>
      <x:c r="D222" s="8" t="n">
        <x:v>10</x:v>
      </x:c>
      <x:c r="E222" s="8" t="n">
        <x:v>5</x:v>
      </x:c>
      <x:c r="F222" s="8" t="n">
        <x:v>2</x:v>
      </x:c>
      <x:c r="G222" s="8" t="n">
        <x:f>IF(AND(ISNUMBER(E222),ISNUMBER(F222)),E222+F222,"")</x:f>
        <x:v>7</x:v>
      </x:c>
      <x:c r="H222" s="8" t="n">
        <x:v>0.2</x:v>
      </x:c>
      <x:c r="I222" s="9" t="n">
        <x:v>35</x:v>
      </x:c>
      <x:c r="J222" s="7" t="str"/>
    </x:row>
    <x:row r="223" ht="32" customHeight="1">
      <x:c r="A223" s="1" t="str">
        <x:v>A5</x:v>
      </x:c>
      <x:c r="B223" s="10" t="str">
        <x:v>6.2.1.4</x:v>
      </x:c>
      <x:c r="C223" s="7" t="str">
        <x:v>Controllers</x:v>
      </x:c>
      <x:c r="D223" s="8" t="n">
        <x:v>10</x:v>
      </x:c>
      <x:c r="E223" s="8" t="n">
        <x:v>10</x:v>
      </x:c>
      <x:c r="F223" s="8" t="n">
        <x:v>5</x:v>
      </x:c>
      <x:c r="G223" s="8" t="n">
        <x:f>IF(AND(ISNUMBER(E223),ISNUMBER(F223)),E223+F223,"")</x:f>
        <x:v>15</x:v>
      </x:c>
      <x:c r="H223" s="8" t="n">
        <x:v>0.2</x:v>
      </x:c>
      <x:c r="I223" s="9" t="n">
        <x:v>35</x:v>
      </x:c>
      <x:c r="J223" s="7" t="str"/>
    </x:row>
    <x:row r="224" ht="32" customHeight="1">
      <x:c r="A224" s="1" t="str">
        <x:v>A5</x:v>
      </x:c>
      <x:c r="B224" s="10" t="str">
        <x:v>6.2.1.5</x:v>
      </x:c>
      <x:c r="C224" s="7" t="str">
        <x:v>Electric contactors and relays (contacts and terminals to be checked)</x:v>
      </x:c>
      <x:c r="D224" s="8" t="n">
        <x:v>10</x:v>
      </x:c>
      <x:c r="E224" s="8" t="n">
        <x:v>5</x:v>
      </x:c>
      <x:c r="F224" s="8" t="n">
        <x:v>5</x:v>
      </x:c>
      <x:c r="G224" s="8" t="n">
        <x:f>IF(AND(ISNUMBER(E224),ISNUMBER(F224)),E224+F224,"")</x:f>
        <x:v>10</x:v>
      </x:c>
      <x:c r="H224" s="8" t="n">
        <x:v>0</x:v>
      </x:c>
      <x:c r="I224" s="9" t="n">
        <x:v>35</x:v>
      </x:c>
      <x:c r="J224" s="7" t="str"/>
    </x:row>
    <x:row r="225" ht="32" customHeight="1">
      <x:c r="A225" s="11" t="str">
        <x:v>A5</x:v>
      </x:c>
      <x:c r="B225" s="12" t="str">
        <x:v>6.2.2</x:v>
      </x:c>
      <x:c r="C225" s="13" t="str">
        <x:v>Data transfer installations</x:v>
      </x:c>
      <x:c r="D225" s="14"/>
      <x:c r="E225" s="14"/>
      <x:c r="F225" s="14"/>
      <x:c r="G225" s="14" t="str">
        <x:f>IF(AND(ISNUMBER(E225),ISNUMBER(F225)),E225+F225,"")</x:f>
      </x:c>
      <x:c r="H225" s="14"/>
      <x:c r="I225" s="15" t="n">
        <x:v>35</x:v>
      </x:c>
      <x:c r="J225" s="13" t="str">
        <x:v>Group or cross-reference; no separate numerical defaults</x:v>
      </x:c>
    </x:row>
    <x:row r="226" ht="32" customHeight="1">
      <x:c r="A226" s="1" t="str">
        <x:v>A5</x:v>
      </x:c>
      <x:c r="B226" s="10" t="str">
        <x:v>6.2.2.1</x:v>
      </x:c>
      <x:c r="C226" s="7" t="str">
        <x:v>Modems, hubs, routers, bridges</x:v>
      </x:c>
      <x:c r="D226" s="8" t="n">
        <x:v>5</x:v>
      </x:c>
      <x:c r="E226" s="8" t="n">
        <x:v>10</x:v>
      </x:c>
      <x:c r="F226" s="8" t="n">
        <x:v>1</x:v>
      </x:c>
      <x:c r="G226" s="8" t="n">
        <x:f>IF(AND(ISNUMBER(E226),ISNUMBER(F226)),E226+F226,"")</x:f>
        <x:v>11</x:v>
      </x:c>
      <x:c r="H226" s="8" t="n">
        <x:v>0</x:v>
      </x:c>
      <x:c r="I226" s="9" t="n">
        <x:v>35</x:v>
      </x:c>
      <x:c r="J226" s="7" t="str"/>
    </x:row>
    <x:row r="227" ht="32" customHeight="1">
      <x:c r="A227" s="1" t="str">
        <x:v>A5</x:v>
      </x:c>
      <x:c r="B227" s="10" t="str">
        <x:v>6.2.2.2</x:v>
      </x:c>
      <x:c r="C227" s="7" t="str">
        <x:v>Remote data transfer equipment</x:v>
      </x:c>
      <x:c r="D227" s="8" t="n">
        <x:v>5</x:v>
      </x:c>
      <x:c r="E227" s="8" t="n">
        <x:v>20</x:v>
      </x:c>
      <x:c r="F227" s="8" t="n">
        <x:v>1</x:v>
      </x:c>
      <x:c r="G227" s="8" t="n">
        <x:f>IF(AND(ISNUMBER(E227),ISNUMBER(F227)),E227+F227,"")</x:f>
        <x:v>21</x:v>
      </x:c>
      <x:c r="H227" s="8" t="n">
        <x:v>1</x:v>
      </x:c>
      <x:c r="I227" s="9" t="n">
        <x:v>35</x:v>
      </x:c>
      <x:c r="J227" s="7" t="str"/>
    </x:row>
    <x:row r="228" ht="32" customHeight="1">
      <x:c r="A228" s="1" t="str">
        <x:v>A5</x:v>
      </x:c>
      <x:c r="B228" s="10" t="str">
        <x:v>6.2.2.3</x:v>
      </x:c>
      <x:c r="C228" s="7" t="str">
        <x:v>Gateways</x:v>
      </x:c>
      <x:c r="D228" s="8" t="n">
        <x:v>5</x:v>
      </x:c>
      <x:c r="E228" s="8" t="n">
        <x:v>20</x:v>
      </x:c>
      <x:c r="F228" s="8" t="n">
        <x:v>0.5</x:v>
      </x:c>
      <x:c r="G228" s="8" t="n">
        <x:f>IF(AND(ISNUMBER(E228),ISNUMBER(F228)),E228+F228,"")</x:f>
        <x:v>20.5</x:v>
      </x:c>
      <x:c r="H228" s="8" t="n">
        <x:v>0</x:v>
      </x:c>
      <x:c r="I228" s="9" t="n">
        <x:v>35</x:v>
      </x:c>
      <x:c r="J228" s="7" t="str"/>
    </x:row>
    <x:row r="229" ht="32" customHeight="1">
      <x:c r="A229" s="1" t="str">
        <x:v>A5</x:v>
      </x:c>
      <x:c r="B229" s="10" t="str">
        <x:v>6.2.2.4</x:v>
      </x:c>
      <x:c r="C229" s="7" t="str">
        <x:v>Multiplexers</x:v>
      </x:c>
      <x:c r="D229" s="8" t="n">
        <x:v>5</x:v>
      </x:c>
      <x:c r="E229" s="8" t="n">
        <x:v>10</x:v>
      </x:c>
      <x:c r="F229" s="8" t="n">
        <x:v>0</x:v>
      </x:c>
      <x:c r="G229" s="8" t="n">
        <x:f>IF(AND(ISNUMBER(E229),ISNUMBER(F229)),E229+F229,"")</x:f>
        <x:v>10</x:v>
      </x:c>
      <x:c r="H229" s="8" t="n">
        <x:v>0</x:v>
      </x:c>
      <x:c r="I229" s="9" t="n">
        <x:v>35</x:v>
      </x:c>
      <x:c r="J229" s="7" t="str"/>
    </x:row>
    <x:row r="230" ht="32" customHeight="1">
      <x:c r="A230" s="1" t="str">
        <x:v>A5</x:v>
      </x:c>
      <x:c r="B230" s="10" t="str">
        <x:v>6.2.2.5</x:v>
      </x:c>
      <x:c r="C230" s="7" t="str">
        <x:v>Bus systems (cabling, passive elements)</x:v>
      </x:c>
      <x:c r="D230" s="8" t="n">
        <x:v>10</x:v>
      </x:c>
      <x:c r="E230" s="8" t="n">
        <x:v>5</x:v>
      </x:c>
      <x:c r="F230" s="8" t="n">
        <x:v>0.5</x:v>
      </x:c>
      <x:c r="G230" s="8" t="n">
        <x:f>IF(AND(ISNUMBER(E230),ISNUMBER(F230)),E230+F230,"")</x:f>
        <x:v>5.5</x:v>
      </x:c>
      <x:c r="H230" s="8" t="n">
        <x:v>0</x:v>
      </x:c>
      <x:c r="I230" s="9" t="n">
        <x:v>35</x:v>
      </x:c>
      <x:c r="J230" s="7" t="str"/>
    </x:row>
    <x:row r="231" ht="32" customHeight="1">
      <x:c r="A231" s="1" t="str">
        <x:v>A5</x:v>
      </x:c>
      <x:c r="B231" s="10" t="str">
        <x:v>6.2.2.6</x:v>
      </x:c>
      <x:c r="C231" s="7" t="str">
        <x:v>Co-use of IT network</x:v>
      </x:c>
      <x:c r="D231" s="8" t="n">
        <x:v>2</x:v>
      </x:c>
      <x:c r="E231" s="8" t="n">
        <x:v>30</x:v>
      </x:c>
      <x:c r="F231" s="8" t="n">
        <x:v>1</x:v>
      </x:c>
      <x:c r="G231" s="8" t="n">
        <x:f>IF(AND(ISNUMBER(E231),ISNUMBER(F231)),E231+F231,"")</x:f>
        <x:v>31</x:v>
      </x:c>
      <x:c r="H231" s="8" t="n">
        <x:v>0</x:v>
      </x:c>
      <x:c r="I231" s="9" t="n">
        <x:v>35</x:v>
      </x:c>
      <x:c r="J231" s="7" t="str"/>
    </x:row>
    <x:row r="232" ht="32" customHeight="1">
      <x:c r="A232" s="11" t="str">
        <x:v>A5</x:v>
      </x:c>
      <x:c r="B232" s="12" t="str">
        <x:v>6.3</x:v>
      </x:c>
      <x:c r="C232" s="13" t="str">
        <x:v>Centralized data processing installations</x:v>
      </x:c>
      <x:c r="D232" s="14"/>
      <x:c r="E232" s="14"/>
      <x:c r="F232" s="14"/>
      <x:c r="G232" s="14" t="str">
        <x:f>IF(AND(ISNUMBER(E232),ISNUMBER(F232)),E232+F232,"")</x:f>
      </x:c>
      <x:c r="H232" s="14"/>
      <x:c r="I232" s="15" t="n">
        <x:v>35</x:v>
      </x:c>
      <x:c r="J232" s="13" t="str">
        <x:v>Group or cross-reference; no separate numerical defaults</x:v>
      </x:c>
    </x:row>
    <x:row r="233" ht="32" customHeight="1">
      <x:c r="A233" s="1" t="str">
        <x:v>A5</x:v>
      </x:c>
      <x:c r="B233" s="10" t="str">
        <x:v>6.3.1</x:v>
      </x:c>
      <x:c r="C233" s="7" t="str">
        <x:v>Servers</x:v>
      </x:c>
      <x:c r="D233" s="8" t="n">
        <x:v>5</x:v>
      </x:c>
      <x:c r="E233" s="8" t="n">
        <x:v>20</x:v>
      </x:c>
      <x:c r="F233" s="8" t="n">
        <x:v>2</x:v>
      </x:c>
      <x:c r="G233" s="8" t="n">
        <x:f>IF(AND(ISNUMBER(E233),ISNUMBER(F233)),E233+F233,"")</x:f>
        <x:v>22</x:v>
      </x:c>
      <x:c r="H233" s="8" t="n">
        <x:v>1</x:v>
      </x:c>
      <x:c r="I233" s="9" t="n">
        <x:v>35</x:v>
      </x:c>
      <x:c r="J233" s="7" t="str"/>
    </x:row>
    <x:row r="234" ht="32" customHeight="1">
      <x:c r="A234" s="1" t="str">
        <x:v>A5</x:v>
      </x:c>
      <x:c r="B234" s="10" t="str">
        <x:v>6.3.2</x:v>
      </x:c>
      <x:c r="C234" s="7" t="str">
        <x:v>Visual display units</x:v>
      </x:c>
      <x:c r="D234" s="8" t="n">
        <x:v>5</x:v>
      </x:c>
      <x:c r="E234" s="8" t="n">
        <x:v>20</x:v>
      </x:c>
      <x:c r="F234" s="8" t="n">
        <x:v>1</x:v>
      </x:c>
      <x:c r="G234" s="8" t="n">
        <x:f>IF(AND(ISNUMBER(E234),ISNUMBER(F234)),E234+F234,"")</x:f>
        <x:v>21</x:v>
      </x:c>
      <x:c r="H234" s="8" t="n">
        <x:v>0</x:v>
      </x:c>
      <x:c r="I234" s="9" t="n">
        <x:v>35</x:v>
      </x:c>
      <x:c r="J234" s="7" t="str"/>
    </x:row>
    <x:row r="235" ht="32" customHeight="1">
      <x:c r="A235" s="1" t="str">
        <x:v>A5</x:v>
      </x:c>
      <x:c r="B235" s="10" t="str">
        <x:v>6.3.2</x:v>
      </x:c>
      <x:c r="C235" s="7" t="str">
        <x:v>Data input equipment</x:v>
      </x:c>
      <x:c r="D235" s="8" t="n">
        <x:v>3</x:v>
      </x:c>
      <x:c r="E235" s="8" t="n">
        <x:v>30</x:v>
      </x:c>
      <x:c r="F235" s="8" t="n">
        <x:v>0.5</x:v>
      </x:c>
      <x:c r="G235" s="8" t="n">
        <x:f>IF(AND(ISNUMBER(E235),ISNUMBER(F235)),E235+F235,"")</x:f>
        <x:v>30.5</x:v>
      </x:c>
      <x:c r="H235" s="8" t="n">
        <x:v>0</x:v>
      </x:c>
      <x:c r="I235" s="9" t="n">
        <x:v>35</x:v>
      </x:c>
      <x:c r="J235" s="7" t="str"/>
    </x:row>
    <x:row r="236" ht="32" customHeight="1">
      <x:c r="A236" s="1" t="str">
        <x:v>A5</x:v>
      </x:c>
      <x:c r="B236" s="10" t="str">
        <x:v>6.3.3</x:v>
      </x:c>
      <x:c r="C236" s="7" t="str">
        <x:v>Printers</x:v>
      </x:c>
      <x:c r="D236" s="8" t="n">
        <x:v>5</x:v>
      </x:c>
      <x:c r="E236" s="8" t="n">
        <x:v>20</x:v>
      </x:c>
      <x:c r="F236" s="8" t="n">
        <x:v>1</x:v>
      </x:c>
      <x:c r="G236" s="8" t="n">
        <x:f>IF(AND(ISNUMBER(E236),ISNUMBER(F236)),E236+F236,"")</x:f>
        <x:v>21</x:v>
      </x:c>
      <x:c r="H236" s="8" t="n">
        <x:v>1</x:v>
      </x:c>
      <x:c r="I236" s="9" t="n">
        <x:v>35</x:v>
      </x:c>
      <x:c r="J236" s="7" t="str"/>
    </x:row>
    <x:row r="237" ht="32" customHeight="1">
      <x:c r="A237" s="1" t="str">
        <x:v>A5</x:v>
      </x:c>
      <x:c r="B237" s="10" t="str">
        <x:v>6.3.4</x:v>
      </x:c>
      <x:c r="C237" s="7" t="str">
        <x:v>Archive storage (with backup/restore functions)</x:v>
      </x:c>
      <x:c r="D237" s="8" t="n">
        <x:v>5</x:v>
      </x:c>
      <x:c r="E237" s="8" t="n">
        <x:v>20</x:v>
      </x:c>
      <x:c r="F237" s="8" t="n">
        <x:v>2</x:v>
      </x:c>
      <x:c r="G237" s="8" t="n">
        <x:f>IF(AND(ISNUMBER(E237),ISNUMBER(F237)),E237+F237,"")</x:f>
        <x:v>22</x:v>
      </x:c>
      <x:c r="H237" s="8" t="n">
        <x:v>2</x:v>
      </x:c>
      <x:c r="I237" s="9" t="n">
        <x:v>35</x:v>
      </x:c>
      <x:c r="J237" s="7" t="str"/>
    </x:row>
    <x:row r="238" ht="32" customHeight="1">
      <x:c r="A238" s="1" t="str">
        <x:v>A5</x:v>
      </x:c>
      <x:c r="B238" s="10" t="str">
        <x:v>6.3.5</x:v>
      </x:c>
      <x:c r="C238" s="7" t="str">
        <x:v>Remote data transfer equipment</x:v>
      </x:c>
      <x:c r="D238" s="8" t="n">
        <x:v>5</x:v>
      </x:c>
      <x:c r="E238" s="8" t="n">
        <x:v>20</x:v>
      </x:c>
      <x:c r="F238" s="8" t="n">
        <x:v>1</x:v>
      </x:c>
      <x:c r="G238" s="8" t="n">
        <x:f>IF(AND(ISNUMBER(E238),ISNUMBER(F238)),E238+F238,"")</x:f>
        <x:v>21</x:v>
      </x:c>
      <x:c r="H238" s="8" t="n">
        <x:v>1</x:v>
      </x:c>
      <x:c r="I238" s="9" t="n">
        <x:v>35</x:v>
      </x:c>
      <x:c r="J238" s="7" t="str"/>
    </x:row>
    <x:row r="239" ht="32" customHeight="1">
      <x:c r="A239" s="1" t="str">
        <x:v>A5</x:v>
      </x:c>
      <x:c r="B239" s="10" t="str">
        <x:v>6.3.6</x:v>
      </x:c>
      <x:c r="C239" s="7" t="str">
        <x:v>Software for operating system, drivers and database</x:v>
      </x:c>
      <x:c r="D239" s="8" t="n">
        <x:v>5</x:v>
      </x:c>
      <x:c r="E239" s="8" t="n">
        <x:v>20</x:v>
      </x:c>
      <x:c r="F239" s="8" t="n">
        <x:v>10</x:v>
      </x:c>
      <x:c r="G239" s="8" t="n">
        <x:f>IF(AND(ISNUMBER(E239),ISNUMBER(F239)),E239+F239,"")</x:f>
        <x:v>30</x:v>
      </x:c>
      <x:c r="H239" s="8" t="n">
        <x:v>2</x:v>
      </x:c>
      <x:c r="I239" s="9" t="n">
        <x:v>35</x:v>
      </x:c>
      <x:c r="J239" s="7" t="str"/>
    </x:row>
    <x:row r="240" ht="32" customHeight="1">
      <x:c r="A240" s="1" t="str">
        <x:v>A5</x:v>
      </x:c>
      <x:c r="B240" s="10" t="str">
        <x:v>6.3.7</x:v>
      </x:c>
      <x:c r="C240" s="7" t="str">
        <x:v>Software for operation and management</x:v>
      </x:c>
      <x:c r="D240" s="8" t="n">
        <x:v>10</x:v>
      </x:c>
      <x:c r="E240" s="8" t="n">
        <x:v>15</x:v>
      </x:c>
      <x:c r="F240" s="8" t="n">
        <x:v>10</x:v>
      </x:c>
      <x:c r="G240" s="8" t="n">
        <x:f>IF(AND(ISNUMBER(E240),ISNUMBER(F240)),E240+F240,"")</x:f>
        <x:v>25</x:v>
      </x:c>
      <x:c r="H240" s="8" t="n">
        <x:v>2</x:v>
      </x:c>
      <x:c r="I240" s="9" t="n">
        <x:v>35</x:v>
      </x:c>
      <x:c r="J240" s="7" t="str"/>
    </x:row>
    <x:row r="241" ht="32" customHeight="1">
      <x:c r="A241" s="1" t="str">
        <x:v>A5</x:v>
      </x:c>
      <x:c r="B241" s="10" t="str">
        <x:v>6.3.8</x:v>
      </x:c>
      <x:c r="C241" s="7" t="str">
        <x:v>Software for control</x:v>
      </x:c>
      <x:c r="D241" s="8" t="n">
        <x:v>10</x:v>
      </x:c>
      <x:c r="E241" s="8" t="n">
        <x:v>10</x:v>
      </x:c>
      <x:c r="F241" s="8" t="n">
        <x:v>5</x:v>
      </x:c>
      <x:c r="G241" s="8" t="n">
        <x:f>IF(AND(ISNUMBER(E241),ISNUMBER(F241)),E241+F241,"")</x:f>
        <x:v>15</x:v>
      </x:c>
      <x:c r="H241" s="8" t="n">
        <x:v>5</x:v>
      </x:c>
      <x:c r="I241" s="9" t="n">
        <x:v>35</x:v>
      </x:c>
      <x:c r="J241" s="7" t="str"/>
    </x:row>
    <x:row r="242" ht="32" customHeight="1">
      <x:c r="A242" s="1" t="str">
        <x:v>A6</x:v>
      </x:c>
      <x:c r="B242" s="10" t="str">
        <x:v>7</x:v>
      </x:c>
      <x:c r="C242" s="7" t="str">
        <x:v>Lifts/elevators</x:v>
      </x:c>
      <x:c r="D242" s="8" t="n">
        <x:v>15</x:v>
      </x:c>
      <x:c r="E242" s="8" t="n">
        <x:v>9</x:v>
      </x:c>
      <x:c r="F242" s="8" t="n">
        <x:v>3.5</x:v>
      </x:c>
      <x:c r="G242" s="8" t="n">
        <x:f>IF(AND(ISNUMBER(E242),ISNUMBER(F242)),E242+F242,"")</x:f>
        <x:v>12.5</x:v>
      </x:c>
      <x:c r="H242" s="8" t="n">
        <x:v>6</x:v>
      </x:c>
      <x:c r="I242" s="9" t="n">
        <x:v>36</x:v>
      </x:c>
      <x:c r="J242" s="7" t="str"/>
    </x:row>
  </x:sheetData>
  <x:pageMargins left="0.7" right="0.7" top="0.75" bottom="0.75" header="0.3" footer="0.3"/>
</x:worksheet>
</file>